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ablero" sheetId="2" state="visible" r:id="rId2"/>
    <sheet xmlns:r="http://schemas.openxmlformats.org/officeDocument/2006/relationships" name="Regist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  <bgColor rgb="00F8CBAD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Tablero Operativo Mensual - Instrucciones</t>
        </is>
      </c>
    </row>
    <row r="2">
      <c r="A2" s="2" t="inlineStr"/>
    </row>
    <row r="3">
      <c r="A3" s="2" t="inlineStr">
        <is>
          <t>Objetivo: seguimiento mensual de clientes, MRR, conversion y churn.</t>
        </is>
      </c>
    </row>
    <row r="4">
      <c r="A4" s="2" t="inlineStr"/>
    </row>
    <row r="5">
      <c r="A5" s="2" t="inlineStr">
        <is>
          <t>Que debes rellenar cada mes (hoja 'Tablero'):</t>
        </is>
      </c>
    </row>
    <row r="6">
      <c r="A6" s="2" t="inlineStr">
        <is>
          <t>- C: Clientes reales</t>
        </is>
      </c>
    </row>
    <row r="7">
      <c r="A7" s="2" t="inlineStr">
        <is>
          <t>- F: MRR real (EUR)</t>
        </is>
      </c>
    </row>
    <row r="8">
      <c r="A8" s="2" t="inlineStr">
        <is>
          <t>- I: Conversion Corrector-&gt;Pro real (en porcentaje)</t>
        </is>
      </c>
    </row>
    <row r="9">
      <c r="A9" s="2" t="inlineStr">
        <is>
          <t>- K: Churn real (en porcentaje)</t>
        </is>
      </c>
    </row>
    <row r="10">
      <c r="A10" s="2" t="inlineStr">
        <is>
          <t>- L: Horas de soporte/mes</t>
        </is>
      </c>
    </row>
    <row r="11">
      <c r="A11" s="2" t="inlineStr">
        <is>
          <t>- M: Gasto comercial (EUR/mes)</t>
        </is>
      </c>
    </row>
    <row r="12">
      <c r="A12" s="2" t="inlineStr"/>
    </row>
    <row r="13">
      <c r="A13" s="2" t="inlineStr">
        <is>
          <t>Que NO tocar (automatico):</t>
        </is>
      </c>
    </row>
    <row r="14">
      <c r="A14" s="2" t="inlineStr">
        <is>
          <t>- D y G: deltas vs objetivo</t>
        </is>
      </c>
    </row>
    <row r="15">
      <c r="A15" s="2" t="inlineStr">
        <is>
          <t>- N: semaforo (VERDE/AMARILLO/ROJO)</t>
        </is>
      </c>
    </row>
    <row r="16">
      <c r="A16" s="2" t="inlineStr">
        <is>
          <t>- O: accion recomendada</t>
        </is>
      </c>
    </row>
    <row r="17">
      <c r="A17" s="2" t="inlineStr"/>
    </row>
    <row r="18">
      <c r="A18" s="2" t="inlineStr">
        <is>
          <t>Reglas de semaforo:</t>
        </is>
      </c>
    </row>
    <row r="19">
      <c r="A19" s="2" t="inlineStr">
        <is>
          <t>- VERDE: clientes y MRR &gt;= 95% del objetivo y churn dentro de objetivo</t>
        </is>
      </c>
    </row>
    <row r="20">
      <c r="A20" s="2" t="inlineStr">
        <is>
          <t>- AMARILLO: clientes o MRR entre 85% y 94% o churn &gt; objetivo</t>
        </is>
      </c>
    </row>
    <row r="21">
      <c r="A21" s="2" t="inlineStr">
        <is>
          <t>- ROJO: clientes o MRR &lt; 85% o churn &gt; objetivo + 1 punto</t>
        </is>
      </c>
    </row>
    <row r="22">
      <c r="A22" s="2" t="inlineStr"/>
    </row>
    <row r="23">
      <c r="A23" s="2" t="inlineStr">
        <is>
          <t>Que hacer segun resultado:</t>
        </is>
      </c>
    </row>
    <row r="24">
      <c r="A24" s="2" t="inlineStr">
        <is>
          <t>- VERDE: mantener plan, optimizar conversion y referral</t>
        </is>
      </c>
    </row>
    <row r="25">
      <c r="A25" s="2" t="inlineStr">
        <is>
          <t>- AMARILLO: ajuste tactico (onboarding, mensaje de valor, canal comercial)</t>
        </is>
      </c>
    </row>
    <row r="26">
      <c r="A26" s="2" t="inlineStr">
        <is>
          <t>- ROJO: plan de choque 30 dias (retencion+producto+captacion)</t>
        </is>
      </c>
    </row>
    <row r="27">
      <c r="A27" s="2" t="inlineStr"/>
    </row>
    <row r="28">
      <c r="A28" s="2" t="inlineStr">
        <is>
          <t>Consejo operativo:</t>
        </is>
      </c>
    </row>
    <row r="29">
      <c r="A29" s="2" t="inlineStr">
        <is>
          <t>- Cierre semanal: actualizar reales del mes en curso</t>
        </is>
      </c>
    </row>
    <row r="30">
      <c r="A30" s="2" t="inlineStr">
        <is>
          <t>- Cierre mensual: registrar decisiones y responsables para el mes siguiente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2" customWidth="1" min="10" max="10"/>
    <col width="12" customWidth="1" min="11" max="11"/>
    <col width="11" customWidth="1" min="12" max="12"/>
    <col width="14" customWidth="1" min="13" max="13"/>
    <col width="12" customWidth="1" min="14" max="14"/>
    <col width="48" customWidth="1" min="15" max="15"/>
  </cols>
  <sheetData>
    <row r="1">
      <c r="A1" s="3" t="inlineStr">
        <is>
          <t>Tablero Operativo Mensual 2026</t>
        </is>
      </c>
    </row>
    <row r="2">
      <c r="A2" t="inlineStr">
        <is>
          <t>ARPU neto referencia (editable)</t>
        </is>
      </c>
      <c r="B2" s="4" t="n">
        <v>35.62</v>
      </c>
      <c r="D2" t="inlineStr">
        <is>
          <t>Objetivo anual clientes</t>
        </is>
      </c>
      <c r="E2" t="n">
        <v>90</v>
      </c>
    </row>
    <row r="5">
      <c r="A5" s="5" t="inlineStr">
        <is>
          <t>Mes</t>
        </is>
      </c>
      <c r="B5" s="5" t="inlineStr">
        <is>
          <t>Clientes_obj</t>
        </is>
      </c>
      <c r="C5" s="5" t="inlineStr">
        <is>
          <t>Clientes_real</t>
        </is>
      </c>
      <c r="D5" s="5" t="inlineStr">
        <is>
          <t>Delta_clientes_pct</t>
        </is>
      </c>
      <c r="E5" s="5" t="inlineStr">
        <is>
          <t>MRR_obj_EUR</t>
        </is>
      </c>
      <c r="F5" s="5" t="inlineStr">
        <is>
          <t>MRR_real_EUR</t>
        </is>
      </c>
      <c r="G5" s="5" t="inlineStr">
        <is>
          <t>Delta_MRR_pct</t>
        </is>
      </c>
      <c r="H5" s="5" t="inlineStr">
        <is>
          <t>Conv_C2P_obj</t>
        </is>
      </c>
      <c r="I5" s="5" t="inlineStr">
        <is>
          <t>Conv_C2P_real</t>
        </is>
      </c>
      <c r="J5" s="5" t="inlineStr">
        <is>
          <t>Churn_obj</t>
        </is>
      </c>
      <c r="K5" s="5" t="inlineStr">
        <is>
          <t>Churn_real</t>
        </is>
      </c>
      <c r="L5" s="5" t="inlineStr">
        <is>
          <t>Soporte_h</t>
        </is>
      </c>
      <c r="M5" s="5" t="inlineStr">
        <is>
          <t>Comercial_EUR</t>
        </is>
      </c>
      <c r="N5" s="5" t="inlineStr">
        <is>
          <t>Semaforo</t>
        </is>
      </c>
      <c r="O5" s="5" t="inlineStr">
        <is>
          <t>Accion_recomendada</t>
        </is>
      </c>
    </row>
    <row r="6">
      <c r="A6" s="6" t="inlineStr">
        <is>
          <t>M1</t>
        </is>
      </c>
      <c r="B6" s="6" t="n">
        <v>5</v>
      </c>
      <c r="C6" s="6" t="n"/>
      <c r="D6" s="7">
        <f>IF(B6=0,"",C6/B6-1)</f>
        <v/>
      </c>
      <c r="E6" s="8">
        <f>ROUND(B6*$B$2,2)</f>
        <v/>
      </c>
      <c r="F6" s="8" t="n"/>
      <c r="G6" s="7">
        <f>IF(E6=0,"",F6/E6-1)</f>
        <v/>
      </c>
      <c r="H6" s="7" t="n">
        <v>0.005</v>
      </c>
      <c r="I6" s="7" t="n"/>
      <c r="J6" s="7" t="n">
        <v>0.1</v>
      </c>
      <c r="K6" s="7" t="n"/>
      <c r="L6" s="6" t="n"/>
      <c r="M6" s="8" t="n"/>
      <c r="N6" s="6">
        <f>IF(OR(C6&lt;0.85*B6,F6&lt;0.85*E6,K6&gt;J6+0.01),"ROJO",IF(OR(C6&lt;0.95*B6,F6&lt;0.95*E6,K6&gt;J6),"AMARILLO","VERDE"))</f>
        <v/>
      </c>
      <c r="O6" s="6">
        <f>IF(N6="ROJO","Plan choque 30d: retencion+producto+captacion",IF(N6="AMARILLO","Ajuste tactico: onboarding+mensaje+canales","Mantener plan y optimizar conversion"))</f>
        <v/>
      </c>
    </row>
    <row r="7">
      <c r="A7" s="6" t="inlineStr">
        <is>
          <t>M2</t>
        </is>
      </c>
      <c r="B7" s="6" t="n">
        <v>12</v>
      </c>
      <c r="C7" s="6" t="n"/>
      <c r="D7" s="7">
        <f>IF(B7=0,"",C7/B7-1)</f>
        <v/>
      </c>
      <c r="E7" s="8">
        <f>ROUND(B7*$B$2,2)</f>
        <v/>
      </c>
      <c r="F7" s="8" t="n"/>
      <c r="G7" s="7">
        <f>IF(E7=0,"",F7/E7-1)</f>
        <v/>
      </c>
      <c r="H7" s="7" t="n">
        <v>0.007</v>
      </c>
      <c r="I7" s="7" t="n"/>
      <c r="J7" s="7" t="n">
        <v>0.09</v>
      </c>
      <c r="K7" s="7" t="n"/>
      <c r="L7" s="6" t="n"/>
      <c r="M7" s="8" t="n"/>
      <c r="N7" s="6">
        <f>IF(OR(C7&lt;0.85*B7,F7&lt;0.85*E7,K7&gt;J7+0.01),"ROJO",IF(OR(C7&lt;0.95*B7,F7&lt;0.95*E7,K7&gt;J7),"AMARILLO","VERDE"))</f>
        <v/>
      </c>
      <c r="O7" s="6">
        <f>IF(N7="ROJO","Plan choque 30d: retencion+producto+captacion",IF(N7="AMARILLO","Ajuste tactico: onboarding+mensaje+canales","Mantener plan y optimizar conversion"))</f>
        <v/>
      </c>
    </row>
    <row r="8">
      <c r="A8" s="6" t="inlineStr">
        <is>
          <t>M3</t>
        </is>
      </c>
      <c r="B8" s="6" t="n">
        <v>20</v>
      </c>
      <c r="C8" s="6" t="n"/>
      <c r="D8" s="7">
        <f>IF(B8=0,"",C8/B8-1)</f>
        <v/>
      </c>
      <c r="E8" s="8">
        <f>ROUND(B8*$B$2,2)</f>
        <v/>
      </c>
      <c r="F8" s="8" t="n"/>
      <c r="G8" s="7">
        <f>IF(E8=0,"",F8/E8-1)</f>
        <v/>
      </c>
      <c r="H8" s="7" t="n">
        <v>0.008</v>
      </c>
      <c r="I8" s="7" t="n"/>
      <c r="J8" s="7" t="n">
        <v>0.08</v>
      </c>
      <c r="K8" s="7" t="n"/>
      <c r="L8" s="6" t="n"/>
      <c r="M8" s="8" t="n"/>
      <c r="N8" s="6">
        <f>IF(OR(C8&lt;0.85*B8,F8&lt;0.85*E8,K8&gt;J8+0.01),"ROJO",IF(OR(C8&lt;0.95*B8,F8&lt;0.95*E8,K8&gt;J8),"AMARILLO","VERDE"))</f>
        <v/>
      </c>
      <c r="O8" s="6">
        <f>IF(N8="ROJO","Plan choque 30d: retencion+producto+captacion",IF(N8="AMARILLO","Ajuste tactico: onboarding+mensaje+canales","Mantener plan y optimizar conversion"))</f>
        <v/>
      </c>
    </row>
    <row r="9">
      <c r="A9" s="6" t="inlineStr">
        <is>
          <t>M4</t>
        </is>
      </c>
      <c r="B9" s="6" t="n">
        <v>28</v>
      </c>
      <c r="C9" s="6" t="n"/>
      <c r="D9" s="7">
        <f>IF(B9=0,"",C9/B9-1)</f>
        <v/>
      </c>
      <c r="E9" s="8">
        <f>ROUND(B9*$B$2,2)</f>
        <v/>
      </c>
      <c r="F9" s="8" t="n"/>
      <c r="G9" s="7">
        <f>IF(E9=0,"",F9/E9-1)</f>
        <v/>
      </c>
      <c r="H9" s="7" t="n">
        <v>0.01</v>
      </c>
      <c r="I9" s="7" t="n"/>
      <c r="J9" s="7" t="n">
        <v>0.07000000000000001</v>
      </c>
      <c r="K9" s="7" t="n"/>
      <c r="L9" s="6" t="n"/>
      <c r="M9" s="8" t="n"/>
      <c r="N9" s="6">
        <f>IF(OR(C9&lt;0.85*B9,F9&lt;0.85*E9,K9&gt;J9+0.01),"ROJO",IF(OR(C9&lt;0.95*B9,F9&lt;0.95*E9,K9&gt;J9),"AMARILLO","VERDE"))</f>
        <v/>
      </c>
      <c r="O9" s="6">
        <f>IF(N9="ROJO","Plan choque 30d: retencion+producto+captacion",IF(N9="AMARILLO","Ajuste tactico: onboarding+mensaje+canales","Mantener plan y optimizar conversion"))</f>
        <v/>
      </c>
    </row>
    <row r="10">
      <c r="A10" s="6" t="inlineStr">
        <is>
          <t>M5</t>
        </is>
      </c>
      <c r="B10" s="6" t="n">
        <v>36</v>
      </c>
      <c r="C10" s="6" t="n"/>
      <c r="D10" s="7">
        <f>IF(B10=0,"",C10/B10-1)</f>
        <v/>
      </c>
      <c r="E10" s="8">
        <f>ROUND(B10*$B$2,2)</f>
        <v/>
      </c>
      <c r="F10" s="8" t="n"/>
      <c r="G10" s="7">
        <f>IF(E10=0,"",F10/E10-1)</f>
        <v/>
      </c>
      <c r="H10" s="7" t="n">
        <v>0.011</v>
      </c>
      <c r="I10" s="7" t="n"/>
      <c r="J10" s="7" t="n">
        <v>0.065</v>
      </c>
      <c r="K10" s="7" t="n"/>
      <c r="L10" s="6" t="n"/>
      <c r="M10" s="8" t="n"/>
      <c r="N10" s="6">
        <f>IF(OR(C10&lt;0.85*B10,F10&lt;0.85*E10,K10&gt;J10+0.01),"ROJO",IF(OR(C10&lt;0.95*B10,F10&lt;0.95*E10,K10&gt;J10),"AMARILLO","VERDE"))</f>
        <v/>
      </c>
      <c r="O10" s="6">
        <f>IF(N10="ROJO","Plan choque 30d: retencion+producto+captacion",IF(N10="AMARILLO","Ajuste tactico: onboarding+mensaje+canales","Mantener plan y optimizar conversion"))</f>
        <v/>
      </c>
    </row>
    <row r="11">
      <c r="A11" s="6" t="inlineStr">
        <is>
          <t>M6</t>
        </is>
      </c>
      <c r="B11" s="6" t="n">
        <v>45</v>
      </c>
      <c r="C11" s="6" t="n"/>
      <c r="D11" s="7">
        <f>IF(B11=0,"",C11/B11-1)</f>
        <v/>
      </c>
      <c r="E11" s="8">
        <f>ROUND(B11*$B$2,2)</f>
        <v/>
      </c>
      <c r="F11" s="8" t="n"/>
      <c r="G11" s="7">
        <f>IF(E11=0,"",F11/E11-1)</f>
        <v/>
      </c>
      <c r="H11" s="7" t="n">
        <v>0.013</v>
      </c>
      <c r="I11" s="7" t="n"/>
      <c r="J11" s="7" t="n">
        <v>0.06</v>
      </c>
      <c r="K11" s="7" t="n"/>
      <c r="L11" s="6" t="n"/>
      <c r="M11" s="8" t="n"/>
      <c r="N11" s="6">
        <f>IF(OR(C11&lt;0.85*B11,F11&lt;0.85*E11,K11&gt;J11+0.01),"ROJO",IF(OR(C11&lt;0.95*B11,F11&lt;0.95*E11,K11&gt;J11),"AMARILLO","VERDE"))</f>
        <v/>
      </c>
      <c r="O11" s="6">
        <f>IF(N11="ROJO","Plan choque 30d: retencion+producto+captacion",IF(N11="AMARILLO","Ajuste tactico: onboarding+mensaje+canales","Mantener plan y optimizar conversion"))</f>
        <v/>
      </c>
    </row>
    <row r="12">
      <c r="A12" s="6" t="inlineStr">
        <is>
          <t>M7</t>
        </is>
      </c>
      <c r="B12" s="6" t="n">
        <v>53</v>
      </c>
      <c r="C12" s="6" t="n"/>
      <c r="D12" s="7">
        <f>IF(B12=0,"",C12/B12-1)</f>
        <v/>
      </c>
      <c r="E12" s="8">
        <f>ROUND(B12*$B$2,2)</f>
        <v/>
      </c>
      <c r="F12" s="8" t="n"/>
      <c r="G12" s="7">
        <f>IF(E12=0,"",F12/E12-1)</f>
        <v/>
      </c>
      <c r="H12" s="7" t="n">
        <v>0.014</v>
      </c>
      <c r="I12" s="7" t="n"/>
      <c r="J12" s="7" t="n">
        <v>0.055</v>
      </c>
      <c r="K12" s="7" t="n"/>
      <c r="L12" s="6" t="n"/>
      <c r="M12" s="8" t="n"/>
      <c r="N12" s="6">
        <f>IF(OR(C12&lt;0.85*B12,F12&lt;0.85*E12,K12&gt;J12+0.01),"ROJO",IF(OR(C12&lt;0.95*B12,F12&lt;0.95*E12,K12&gt;J12),"AMARILLO","VERDE"))</f>
        <v/>
      </c>
      <c r="O12" s="6">
        <f>IF(N12="ROJO","Plan choque 30d: retencion+producto+captacion",IF(N12="AMARILLO","Ajuste tactico: onboarding+mensaje+canales","Mantener plan y optimizar conversion"))</f>
        <v/>
      </c>
    </row>
    <row r="13">
      <c r="A13" s="6" t="inlineStr">
        <is>
          <t>M8</t>
        </is>
      </c>
      <c r="B13" s="6" t="n">
        <v>61</v>
      </c>
      <c r="C13" s="6" t="n"/>
      <c r="D13" s="7">
        <f>IF(B13=0,"",C13/B13-1)</f>
        <v/>
      </c>
      <c r="E13" s="8">
        <f>ROUND(B13*$B$2,2)</f>
        <v/>
      </c>
      <c r="F13" s="8" t="n"/>
      <c r="G13" s="7">
        <f>IF(E13=0,"",F13/E13-1)</f>
        <v/>
      </c>
      <c r="H13" s="7" t="n">
        <v>0.015</v>
      </c>
      <c r="I13" s="7" t="n"/>
      <c r="J13" s="7" t="n">
        <v>0.052</v>
      </c>
      <c r="K13" s="7" t="n"/>
      <c r="L13" s="6" t="n"/>
      <c r="M13" s="8" t="n"/>
      <c r="N13" s="6">
        <f>IF(OR(C13&lt;0.85*B13,F13&lt;0.85*E13,K13&gt;J13+0.01),"ROJO",IF(OR(C13&lt;0.95*B13,F13&lt;0.95*E13,K13&gt;J13),"AMARILLO","VERDE"))</f>
        <v/>
      </c>
      <c r="O13" s="6">
        <f>IF(N13="ROJO","Plan choque 30d: retencion+producto+captacion",IF(N13="AMARILLO","Ajuste tactico: onboarding+mensaje+canales","Mantener plan y optimizar conversion"))</f>
        <v/>
      </c>
    </row>
    <row r="14">
      <c r="A14" s="6" t="inlineStr">
        <is>
          <t>M9</t>
        </is>
      </c>
      <c r="B14" s="6" t="n">
        <v>70</v>
      </c>
      <c r="C14" s="6" t="n"/>
      <c r="D14" s="7">
        <f>IF(B14=0,"",C14/B14-1)</f>
        <v/>
      </c>
      <c r="E14" s="8">
        <f>ROUND(B14*$B$2,2)</f>
        <v/>
      </c>
      <c r="F14" s="8" t="n"/>
      <c r="G14" s="7">
        <f>IF(E14=0,"",F14/E14-1)</f>
        <v/>
      </c>
      <c r="H14" s="7" t="n">
        <v>0.016</v>
      </c>
      <c r="I14" s="7" t="n"/>
      <c r="J14" s="7" t="n">
        <v>0.05</v>
      </c>
      <c r="K14" s="7" t="n"/>
      <c r="L14" s="6" t="n"/>
      <c r="M14" s="8" t="n"/>
      <c r="N14" s="6">
        <f>IF(OR(C14&lt;0.85*B14,F14&lt;0.85*E14,K14&gt;J14+0.01),"ROJO",IF(OR(C14&lt;0.95*B14,F14&lt;0.95*E14,K14&gt;J14),"AMARILLO","VERDE"))</f>
        <v/>
      </c>
      <c r="O14" s="6">
        <f>IF(N14="ROJO","Plan choque 30d: retencion+producto+captacion",IF(N14="AMARILLO","Ajuste tactico: onboarding+mensaje+canales","Mantener plan y optimizar conversion"))</f>
        <v/>
      </c>
    </row>
    <row r="15">
      <c r="A15" s="6" t="inlineStr">
        <is>
          <t>M10</t>
        </is>
      </c>
      <c r="B15" s="6" t="n">
        <v>77</v>
      </c>
      <c r="C15" s="6" t="n"/>
      <c r="D15" s="7">
        <f>IF(B15=0,"",C15/B15-1)</f>
        <v/>
      </c>
      <c r="E15" s="8">
        <f>ROUND(B15*$B$2,2)</f>
        <v/>
      </c>
      <c r="F15" s="8" t="n"/>
      <c r="G15" s="7">
        <f>IF(E15=0,"",F15/E15-1)</f>
        <v/>
      </c>
      <c r="H15" s="7" t="n">
        <v>0.017</v>
      </c>
      <c r="I15" s="7" t="n"/>
      <c r="J15" s="7" t="n">
        <v>0.047</v>
      </c>
      <c r="K15" s="7" t="n"/>
      <c r="L15" s="6" t="n"/>
      <c r="M15" s="8" t="n"/>
      <c r="N15" s="6">
        <f>IF(OR(C15&lt;0.85*B15,F15&lt;0.85*E15,K15&gt;J15+0.01),"ROJO",IF(OR(C15&lt;0.95*B15,F15&lt;0.95*E15,K15&gt;J15),"AMARILLO","VERDE"))</f>
        <v/>
      </c>
      <c r="O15" s="6">
        <f>IF(N15="ROJO","Plan choque 30d: retencion+producto+captacion",IF(N15="AMARILLO","Ajuste tactico: onboarding+mensaje+canales","Mantener plan y optimizar conversion"))</f>
        <v/>
      </c>
    </row>
    <row r="16">
      <c r="A16" s="6" t="inlineStr">
        <is>
          <t>M11</t>
        </is>
      </c>
      <c r="B16" s="6" t="n">
        <v>84</v>
      </c>
      <c r="C16" s="6" t="n"/>
      <c r="D16" s="7">
        <f>IF(B16=0,"",C16/B16-1)</f>
        <v/>
      </c>
      <c r="E16" s="8">
        <f>ROUND(B16*$B$2,2)</f>
        <v/>
      </c>
      <c r="F16" s="8" t="n"/>
      <c r="G16" s="7">
        <f>IF(E16=0,"",F16/E16-1)</f>
        <v/>
      </c>
      <c r="H16" s="7" t="n">
        <v>0.018</v>
      </c>
      <c r="I16" s="7" t="n"/>
      <c r="J16" s="7" t="n">
        <v>0.044</v>
      </c>
      <c r="K16" s="7" t="n"/>
      <c r="L16" s="6" t="n"/>
      <c r="M16" s="8" t="n"/>
      <c r="N16" s="6">
        <f>IF(OR(C16&lt;0.85*B16,F16&lt;0.85*E16,K16&gt;J16+0.01),"ROJO",IF(OR(C16&lt;0.95*B16,F16&lt;0.95*E16,K16&gt;J16),"AMARILLO","VERDE"))</f>
        <v/>
      </c>
      <c r="O16" s="6">
        <f>IF(N16="ROJO","Plan choque 30d: retencion+producto+captacion",IF(N16="AMARILLO","Ajuste tactico: onboarding+mensaje+canales","Mantener plan y optimizar conversion"))</f>
        <v/>
      </c>
    </row>
    <row r="17">
      <c r="A17" s="6" t="inlineStr">
        <is>
          <t>M12</t>
        </is>
      </c>
      <c r="B17" s="6" t="n">
        <v>90</v>
      </c>
      <c r="C17" s="6" t="n"/>
      <c r="D17" s="7">
        <f>IF(B17=0,"",C17/B17-1)</f>
        <v/>
      </c>
      <c r="E17" s="8">
        <f>ROUND(B17*$B$2,2)</f>
        <v/>
      </c>
      <c r="F17" s="8" t="n"/>
      <c r="G17" s="7">
        <f>IF(E17=0,"",F17/E17-1)</f>
        <v/>
      </c>
      <c r="H17" s="7" t="n">
        <v>0.02</v>
      </c>
      <c r="I17" s="7" t="n"/>
      <c r="J17" s="7" t="n">
        <v>0.04</v>
      </c>
      <c r="K17" s="7" t="n"/>
      <c r="L17" s="6" t="n"/>
      <c r="M17" s="8" t="n"/>
      <c r="N17" s="6">
        <f>IF(OR(C17&lt;0.85*B17,F17&lt;0.85*E17,K17&gt;J17+0.01),"ROJO",IF(OR(C17&lt;0.95*B17,F17&lt;0.95*E17,K17&gt;J17),"AMARILLO","VERDE"))</f>
        <v/>
      </c>
      <c r="O17" s="6">
        <f>IF(N17="ROJO","Plan choque 30d: retencion+producto+captacion",IF(N17="AMARILLO","Ajuste tactico: onboarding+mensaje+canales","Mantener plan y optimizar conversion"))</f>
        <v/>
      </c>
    </row>
    <row r="20">
      <c r="A20" s="9" t="inlineStr">
        <is>
          <t>Resumen rapido</t>
        </is>
      </c>
    </row>
    <row r="21">
      <c r="A21" t="inlineStr">
        <is>
          <t>Ultimo mes con datos</t>
        </is>
      </c>
      <c r="B21">
        <f>IFERROR(LOOKUP(2,1/(C6:C17&lt;&gt;""),A6:A17),"")</f>
        <v/>
      </c>
    </row>
    <row r="22">
      <c r="A22" t="inlineStr">
        <is>
          <t>Clientes ultimo dato</t>
        </is>
      </c>
      <c r="B22">
        <f>IFERROR(LOOKUP(2,1/(C6:C17&lt;&gt;""),C6:C17),"")</f>
        <v/>
      </c>
    </row>
    <row r="23">
      <c r="A23" t="inlineStr">
        <is>
          <t>MRR ultimo dato (EUR)</t>
        </is>
      </c>
      <c r="B23" s="4">
        <f>IFERROR(LOOKUP(2,1/(F6:F17&lt;&gt;""),F6:F17),"")</f>
        <v/>
      </c>
    </row>
    <row r="24">
      <c r="A24" t="inlineStr">
        <is>
          <t>Churn promedio cargado</t>
        </is>
      </c>
      <c r="B24" s="10">
        <f>IFERROR(AVERAGE(K6:K17),"")</f>
        <v/>
      </c>
    </row>
    <row r="25">
      <c r="A25" t="inlineStr">
        <is>
          <t>Conversion C-&gt;P promedio cargada</t>
        </is>
      </c>
      <c r="B25" s="10">
        <f>IFERROR(AVERAGE(I6:I17),"")</f>
        <v/>
      </c>
    </row>
  </sheetData>
  <conditionalFormatting sqref="N6:N17">
    <cfRule type="expression" priority="1" dxfId="0">
      <formula>$N6="ROJO"</formula>
    </cfRule>
    <cfRule type="expression" priority="2" dxfId="1">
      <formula>$N6="AMARILLO"</formula>
    </cfRule>
    <cfRule type="expression" priority="3" dxfId="2">
      <formula>$N6="VERDE"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2" customWidth="1" min="4" max="4"/>
    <col width="24" customWidth="1" min="5" max="5"/>
    <col width="24" customWidth="1" min="6" max="6"/>
    <col width="24" customWidth="1" min="7" max="7"/>
    <col width="20" customWidth="1" min="8" max="8"/>
    <col width="20" customWidth="1" min="9" max="9"/>
    <col width="14" customWidth="1" min="10" max="10"/>
    <col width="14" customWidth="1" min="11" max="11"/>
  </cols>
  <sheetData>
    <row r="1">
      <c r="A1" s="11" t="inlineStr">
        <is>
          <t>Registro mensual de decisiones</t>
        </is>
      </c>
    </row>
    <row r="3">
      <c r="A3" s="12" t="inlineStr">
        <is>
          <t>Mes</t>
        </is>
      </c>
      <c r="B3" s="12" t="inlineStr">
        <is>
          <t>Que funciono</t>
        </is>
      </c>
      <c r="C3" s="12" t="inlineStr">
        <is>
          <t>Que no funciono</t>
        </is>
      </c>
      <c r="D3" s="12" t="inlineStr">
        <is>
          <t>Bloqueadores</t>
        </is>
      </c>
      <c r="E3" s="12" t="inlineStr">
        <is>
          <t>Decision producto</t>
        </is>
      </c>
      <c r="F3" s="12" t="inlineStr">
        <is>
          <t>Decision comercial</t>
        </is>
      </c>
      <c r="G3" s="12" t="inlineStr">
        <is>
          <t>Decision soporte</t>
        </is>
      </c>
      <c r="H3" s="12" t="inlineStr">
        <is>
          <t>Riesgo principal</t>
        </is>
      </c>
      <c r="I3" s="12" t="inlineStr">
        <is>
          <t>Mitigacion</t>
        </is>
      </c>
      <c r="J3" s="12" t="inlineStr">
        <is>
          <t>Responsable</t>
        </is>
      </c>
      <c r="K3" s="12" t="inlineStr">
        <is>
          <t>Fecha revision</t>
        </is>
      </c>
    </row>
    <row r="4">
      <c r="A4" s="13" t="inlineStr">
        <is>
          <t>M1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</row>
    <row r="5">
      <c r="A5" s="13" t="inlineStr">
        <is>
          <t>M2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</row>
    <row r="6">
      <c r="A6" s="13" t="inlineStr">
        <is>
          <t>M3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</row>
    <row r="7">
      <c r="A7" s="13" t="inlineStr">
        <is>
          <t>M4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</row>
    <row r="8">
      <c r="A8" s="13" t="inlineStr">
        <is>
          <t>M5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</row>
    <row r="9">
      <c r="A9" s="13" t="inlineStr">
        <is>
          <t>M6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</row>
    <row r="10">
      <c r="A10" s="13" t="inlineStr">
        <is>
          <t>M7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</row>
    <row r="11">
      <c r="A11" s="13" t="inlineStr">
        <is>
          <t>M8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>
      <c r="A12" s="13" t="inlineStr">
        <is>
          <t>M9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>
      <c r="A13" s="13" t="inlineStr">
        <is>
          <t>M10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>
      <c r="A14" s="13" t="inlineStr">
        <is>
          <t>M11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>
      <c r="A15" s="13" t="inlineStr">
        <is>
          <t>M12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2026-02-13T18:50:10Z</dcterms:created>
  <dcterms:modified xmlns:dcterms="http://purl.org/dc/terms/" xmlns:xsi="http://www.w3.org/2001/XMLSchema-instance" xsi:type="dcterms:W3CDTF">2026-02-13T18:50:11Z</dcterms:modified>
</cp:coreProperties>
</file>