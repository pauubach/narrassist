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1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Tablero" sheetId="2" state="visible" r:id="rId2"/>
    <sheet xmlns:r="http://schemas.openxmlformats.org/officeDocument/2006/relationships" name="Registro" sheetId="3" state="visible" r:id="rId3"/>
  </sheets>
  <definedNames>
    <definedName name="_xlnm._FilterDatabase" localSheetId="1" hidden="1">'Tablero'!$A$5:$AO$17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%"/>
    <numFmt numFmtId="165" formatCode="#,##0.00 &quot;EUR&quot;"/>
    <numFmt numFmtId="166" formatCode="0.0%"/>
    <numFmt numFmtId="167" formatCode="0.0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3"/>
    </font>
    <font>
      <name val="Calibri"/>
      <family val="2"/>
      <color rgb="FFffffff"/>
      <sz val="11"/>
    </font>
    <font>
      <name val="Calibri"/>
      <family val="2"/>
      <color theme="1"/>
      <sz val="11"/>
    </font>
    <font>
      <name val="Calibri"/>
      <family val="2"/>
      <color theme="1"/>
      <sz val="14"/>
    </font>
    <font>
      <name val="Calibri"/>
      <family val="2"/>
      <color theme="1"/>
      <sz val="11"/>
    </font>
    <font>
      <b val="1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2f5597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1"/>
  </cellStyleXfs>
  <cellXfs count="52">
    <xf numFmtId="0" fontId="0" fillId="0" borderId="0" pivotButton="0" quotePrefix="0" xfId="0"/>
    <xf numFmtId="0" fontId="1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horizontal="general" wrapText="1"/>
    </xf>
    <xf numFmtId="0" fontId="0" fillId="0" borderId="0" applyAlignment="1" pivotButton="0" quotePrefix="0" xfId="0">
      <alignment wrapText="1"/>
    </xf>
    <xf numFmtId="0" fontId="2" fillId="2" borderId="2" applyAlignment="1" pivotButton="0" quotePrefix="0" xfId="0">
      <alignment horizontal="center" wrapText="1"/>
    </xf>
    <xf numFmtId="0" fontId="3" fillId="0" borderId="2" applyAlignment="1" pivotButton="0" quotePrefix="0" xfId="0">
      <alignment horizontal="left" wrapText="1"/>
    </xf>
    <xf numFmtId="0" fontId="0" fillId="0" borderId="0" applyAlignment="1" pivotButton="0" quotePrefix="0" xfId="0">
      <alignment horizontal="general" wrapText="1"/>
    </xf>
    <xf numFmtId="0" fontId="4" fillId="0" borderId="1" applyAlignment="1" pivotButton="0" quotePrefix="0" xfId="0">
      <alignment horizontal="left"/>
    </xf>
    <xf numFmtId="3" fontId="0" fillId="0" borderId="0" applyAlignment="1" pivotButton="0" quotePrefix="0" xfId="0">
      <alignment horizontal="general"/>
    </xf>
    <xf numFmtId="164" fontId="0" fillId="0" borderId="0" applyAlignment="1" pivotButton="0" quotePrefix="0" xfId="0">
      <alignment horizontal="general" wrapText="1"/>
    </xf>
    <xf numFmtId="0" fontId="0" fillId="0" borderId="0" applyAlignment="1" pivotButton="0" quotePrefix="0" xfId="0">
      <alignment horizontal="general"/>
    </xf>
    <xf numFmtId="4" fontId="3" fillId="0" borderId="1" applyAlignment="1" pivotButton="0" quotePrefix="0" xfId="0">
      <alignment horizontal="right"/>
    </xf>
    <xf numFmtId="3" fontId="3" fillId="0" borderId="1" applyAlignment="1" pivotButton="0" quotePrefix="0" xfId="0">
      <alignment horizontal="right"/>
    </xf>
    <xf numFmtId="0" fontId="2" fillId="3" borderId="2" applyAlignment="1" pivotButton="0" quotePrefix="0" xfId="0">
      <alignment horizontal="center" wrapText="1"/>
    </xf>
    <xf numFmtId="3" fontId="2" fillId="3" borderId="2" applyAlignment="1" pivotButton="0" quotePrefix="0" xfId="0">
      <alignment horizontal="center" wrapText="1"/>
    </xf>
    <xf numFmtId="164" fontId="2" fillId="3" borderId="2" applyAlignment="1" pivotButton="0" quotePrefix="0" xfId="0">
      <alignment horizontal="center" wrapText="1"/>
    </xf>
    <xf numFmtId="0" fontId="3" fillId="0" borderId="2" applyAlignment="1" pivotButton="0" quotePrefix="0" xfId="0">
      <alignment horizontal="center" wrapText="1"/>
    </xf>
    <xf numFmtId="3" fontId="3" fillId="0" borderId="2" applyAlignment="1" pivotButton="0" quotePrefix="0" xfId="0">
      <alignment horizontal="center" wrapText="1"/>
    </xf>
    <xf numFmtId="164" fontId="3" fillId="0" borderId="2" applyAlignment="1" pivotButton="0" quotePrefix="0" xfId="0">
      <alignment horizontal="center" wrapText="1"/>
    </xf>
    <xf numFmtId="4" fontId="3" fillId="0" borderId="2" applyAlignment="1" pivotButton="0" quotePrefix="0" xfId="0">
      <alignment horizontal="center" wrapText="1"/>
    </xf>
    <xf numFmtId="0" fontId="3" fillId="0" borderId="2" applyAlignment="1" pivotButton="0" quotePrefix="0" xfId="0">
      <alignment horizontal="center" wrapText="1"/>
    </xf>
    <xf numFmtId="0" fontId="5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164" fontId="0" fillId="0" borderId="0" applyAlignment="1" pivotButton="0" quotePrefix="0" xfId="0">
      <alignment horizontal="general" wrapText="1"/>
    </xf>
    <xf numFmtId="0" fontId="4" fillId="0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left" wrapText="1"/>
    </xf>
    <xf numFmtId="0" fontId="7" fillId="0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left"/>
    </xf>
    <xf numFmtId="0" fontId="7" fillId="0" borderId="0" applyAlignment="1" pivotButton="0" quotePrefix="0" xfId="0">
      <alignment horizontal="general"/>
    </xf>
    <xf numFmtId="165" fontId="3" fillId="0" borderId="1" applyAlignment="1" pivotButton="0" quotePrefix="0" xfId="0">
      <alignment horizontal="right"/>
    </xf>
    <xf numFmtId="0" fontId="7" fillId="0" borderId="0" applyAlignment="1" pivotButton="0" quotePrefix="0" xfId="0">
      <alignment horizontal="general" wrapText="1"/>
    </xf>
    <xf numFmtId="165" fontId="0" fillId="0" borderId="0" applyAlignment="1" pivotButton="0" quotePrefix="0" xfId="0">
      <alignment horizontal="general" wrapText="1"/>
    </xf>
    <xf numFmtId="3" fontId="7" fillId="0" borderId="1" applyAlignment="1" pivotButton="0" quotePrefix="0" xfId="0">
      <alignment horizontal="right"/>
    </xf>
    <xf numFmtId="164" fontId="7" fillId="0" borderId="0" applyAlignment="1" pivotButton="0" quotePrefix="0" xfId="0">
      <alignment horizontal="general" wrapText="1"/>
    </xf>
    <xf numFmtId="166" fontId="0" fillId="0" borderId="0" applyAlignment="1" pivotButton="0" quotePrefix="0" xfId="0">
      <alignment horizontal="general" wrapText="1"/>
    </xf>
    <xf numFmtId="0" fontId="7" fillId="0" borderId="0" pivotButton="0" quotePrefix="0" xfId="0"/>
    <xf numFmtId="166" fontId="0" fillId="0" borderId="0" pivotButton="0" quotePrefix="0" xfId="0"/>
    <xf numFmtId="165" fontId="0" fillId="0" borderId="0" applyAlignment="1" pivotButton="0" quotePrefix="0" xfId="0">
      <alignment horizontal="general"/>
    </xf>
    <xf numFmtId="0" fontId="8" fillId="4" borderId="2" applyAlignment="1" pivotButton="0" quotePrefix="0" xfId="0">
      <alignment horizontal="center" vertical="center" wrapText="1"/>
    </xf>
    <xf numFmtId="3" fontId="8" fillId="4" borderId="2" applyAlignment="1" pivotButton="0" quotePrefix="0" xfId="0">
      <alignment horizontal="center" vertical="center" wrapText="1"/>
    </xf>
    <xf numFmtId="164" fontId="8" fillId="4" borderId="2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166" fontId="3" fillId="0" borderId="2" applyAlignment="1" pivotButton="0" quotePrefix="0" xfId="0">
      <alignment horizontal="center" wrapText="1"/>
    </xf>
    <xf numFmtId="165" fontId="3" fillId="0" borderId="2" applyAlignment="1" pivotButton="0" quotePrefix="0" xfId="0">
      <alignment horizontal="center" wrapText="1"/>
    </xf>
    <xf numFmtId="165" fontId="0" fillId="0" borderId="0" pivotButton="0" quotePrefix="0" xfId="0"/>
    <xf numFmtId="167" fontId="0" fillId="0" borderId="0" pivotButton="0" quotePrefix="0" xfId="0"/>
    <xf numFmtId="0" fontId="7" fillId="0" borderId="1" applyAlignment="1" pivotButton="0" quotePrefix="0" xfId="0">
      <alignment horizontal="left"/>
    </xf>
    <xf numFmtId="166" fontId="3" fillId="0" borderId="1" applyAlignment="1" pivotButton="0" quotePrefix="0" xfId="0">
      <alignment horizontal="right"/>
    </xf>
    <xf numFmtId="1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A37"/>
  <sheetViews>
    <sheetView workbookViewId="0">
      <selection activeCell="A1" sqref="A1"/>
    </sheetView>
  </sheetViews>
  <sheetFormatPr baseColWidth="8" defaultRowHeight="15"/>
  <cols>
    <col width="145" bestFit="1" customWidth="1" style="6" min="1" max="1"/>
  </cols>
  <sheetData>
    <row r="1" ht="25.5" customHeight="1">
      <c r="A1" s="28" t="inlineStr">
        <is>
          <t>Tablero Operativo Mensual - Instrucciones</t>
        </is>
      </c>
    </row>
    <row r="2" ht="18.75" customFormat="1" customHeight="1" s="3">
      <c r="A2" s="27" t="inlineStr"/>
    </row>
    <row r="3" ht="18.75" customFormat="1" customHeight="1" s="3">
      <c r="A3" s="27" t="inlineStr">
        <is>
          <t>Objetivo: seguimiento mensual por tipo de licencia (Corrector, Profesional, Editorial) con mayor realismo financiero.</t>
        </is>
      </c>
    </row>
    <row r="4" ht="18.75" customFormat="1" customHeight="1" s="3">
      <c r="A4" s="27" t="inlineStr"/>
    </row>
    <row r="5" ht="18.75" customFormat="1" customHeight="1" s="3">
      <c r="A5" s="29" t="inlineStr">
        <is>
          <t>Novedades del modelo:</t>
        </is>
      </c>
    </row>
    <row r="6" ht="18.75" customFormat="1" customHeight="1" s="3">
      <c r="A6" s="27" t="inlineStr">
        <is>
          <t>- Se separa MRR base por tier (C/P/E) y se ajusta por mix anual/mensual + descuento anual.</t>
        </is>
      </c>
    </row>
    <row r="7" ht="18.75" customFormat="1" customHeight="1" s="3">
      <c r="A7" s="27" t="inlineStr">
        <is>
          <t>- Se separan ingresos de packs (Corrector y Profesional) fuera del MRR base.</t>
        </is>
      </c>
    </row>
    <row r="8" ht="18.75" customFormat="1" customHeight="1" s="3">
      <c r="A8" s="27" t="inlineStr">
        <is>
          <t>- Se calcula ingreso total (base + packs) con delta vs objetivo total.</t>
        </is>
      </c>
    </row>
    <row r="9" ht="18.75" customFormat="1" customHeight="1" s="3">
      <c r="A9" s="29" t="inlineStr"/>
    </row>
    <row r="10" ht="18.75" customFormat="1" customHeight="1" s="3">
      <c r="A10" s="27" t="inlineStr">
        <is>
          <t>Que debes rellenar cada mes (hoja Tablero, filas M1..M12):</t>
        </is>
      </c>
    </row>
    <row r="11" ht="18.75" customFormat="1" customHeight="1" s="3">
      <c r="A11" s="27" t="inlineStr">
        <is>
          <t>- C_real, P_real, E_real (columnas C, E, G)</t>
        </is>
      </c>
    </row>
    <row r="12" ht="18.75" customFormat="1" customHeight="1" s="3">
      <c r="A12" s="29" t="inlineStr">
        <is>
          <t>- Upg_C2P_real y Upg_P2E_real (U, W)</t>
        </is>
      </c>
    </row>
    <row r="13" ht="18.75" customFormat="1" customHeight="1" s="3">
      <c r="A13" s="27" t="inlineStr">
        <is>
          <t>- Churn_C_real, Churn_P_real, Churn_E_real (X, Y, Z)</t>
        </is>
      </c>
    </row>
    <row r="14" ht="18.75" customFormat="1" customHeight="1" s="3">
      <c r="A14" s="27" t="inlineStr">
        <is>
          <t>- Soporte_h y Comercial_EUR (AA, AB)</t>
        </is>
      </c>
    </row>
    <row r="15" ht="18.75" customFormat="1" customHeight="1" s="3">
      <c r="A15" s="27" t="inlineStr">
        <is>
          <t>- Packs_real_C_EUR y Packs_real_P_EUR (AD, AF)</t>
        </is>
      </c>
    </row>
    <row r="16" ht="18.75" customFormat="1" customHeight="1" s="3">
      <c r="A16" s="27" t="inlineStr">
        <is>
          <t>- Comentario_facturacion (AO) si hay desvíos puntuales (promos, devoluciones, etc.)</t>
        </is>
      </c>
    </row>
    <row r="17" ht="18.75" customFormat="1" customHeight="1" s="3">
      <c r="A17" s="29" t="inlineStr"/>
    </row>
    <row r="18" ht="18.75" customFormat="1" customHeight="1" s="3">
      <c r="A18" s="29" t="inlineStr">
        <is>
          <t>Parametros editables (fila 2):</t>
        </is>
      </c>
    </row>
    <row r="19" ht="18.75" customFormat="1" customHeight="1" s="3">
      <c r="A19" s="27" t="inlineStr">
        <is>
          <t>- ARPU por tier (B2, D2, F2)</t>
        </is>
      </c>
    </row>
    <row r="20" ht="18.75" customFormat="1" customHeight="1" s="3">
      <c r="A20" s="27" t="inlineStr">
        <is>
          <t>- Churn objetivo por tier (I2, K2, M2)</t>
        </is>
      </c>
    </row>
    <row r="21" ht="18.75" customFormat="1" customHeight="1" s="3">
      <c r="A21" s="29" t="inlineStr">
        <is>
          <t>- Conversion upsell objetivo C-&gt;P y P-&gt;E (O2, Q2)</t>
        </is>
      </c>
    </row>
    <row r="22" ht="18.75" customFormat="1" customHeight="1" s="3">
      <c r="A22" s="27" t="inlineStr">
        <is>
          <t>- Descuento anual y share anual por tier (S2, U2, W2, Y2)</t>
        </is>
      </c>
    </row>
    <row r="23" ht="18.75" customFormat="1" customHeight="1" s="3">
      <c r="A23" s="27" t="inlineStr">
        <is>
          <t>- Ratio objetivo de packs sobre MRR por tier (AA2, AC2)</t>
        </is>
      </c>
    </row>
    <row r="24" ht="18.75" customFormat="1" customHeight="1" s="3">
      <c r="A24" s="27" t="inlineStr"/>
    </row>
    <row r="25" ht="18.75" customFormat="1" customHeight="1" s="3">
      <c r="A25" s="29" t="inlineStr">
        <is>
          <t>Automatico (no tocar):</t>
        </is>
      </c>
    </row>
    <row r="26" ht="18.75" customFormat="1" customHeight="1" s="3">
      <c r="A26" s="27" t="inlineStr">
        <is>
          <t>- MRR base objetivo/real por tier y total (K:R)</t>
        </is>
      </c>
    </row>
    <row r="27" ht="18.75" customFormat="1" customHeight="1" s="3">
      <c r="A27" s="27" t="inlineStr">
        <is>
          <t>- Packs objetivo/total e ingresos totales objetivo/real (AC:AJ)</t>
        </is>
      </c>
    </row>
    <row r="28" ht="18.75" customFormat="1" customHeight="1" s="3">
      <c r="A28" s="27" t="inlineStr">
        <is>
          <t>- Deltas, mix anual ponderado, semaforo y accion recomendada (AK:AN)</t>
        </is>
      </c>
    </row>
    <row r="29" ht="18.75" customFormat="1" customHeight="1" s="3">
      <c r="A29" s="27" t="inlineStr"/>
    </row>
    <row r="30" ht="18.75" customFormat="1" customHeight="1" s="3">
      <c r="A30" s="29" t="inlineStr">
        <is>
          <t>Reglas de semaforo:</t>
        </is>
      </c>
    </row>
    <row r="31">
      <c r="A31" t="inlineStr">
        <is>
          <t>- VERDE: clientes e ingresos &gt;=95% del objetivo y churn/upsell dentro de objetivo.</t>
        </is>
      </c>
    </row>
    <row r="32">
      <c r="A32" t="inlineStr">
        <is>
          <t>- AMARILLO: desviación moderada en clientes/ingresos o churn/upsell.</t>
        </is>
      </c>
    </row>
    <row r="33">
      <c r="A33" t="inlineStr">
        <is>
          <t>- ROJO: desviación severa en clientes/ingresos o churn/upsell.</t>
        </is>
      </c>
    </row>
    <row r="34">
      <c r="A34" t="inlineStr"/>
    </row>
    <row r="35">
      <c r="A35" s="38" t="inlineStr">
        <is>
          <t>Uso recomendado:</t>
        </is>
      </c>
    </row>
    <row r="36">
      <c r="A36" t="inlineStr">
        <is>
          <t>- Cierre semanal: actualizar reales del mes en curso.</t>
        </is>
      </c>
    </row>
    <row r="37">
      <c r="A37" t="inlineStr">
        <is>
          <t>- Cierre mensual: revisar Semaforo + Registro y decidir acciones por tier.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AO29"/>
  <sheetViews>
    <sheetView tabSelected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bestFit="1" customWidth="1" style="23" min="1" max="1"/>
    <col width="9" bestFit="1" customWidth="1" style="24" min="2" max="2"/>
    <col width="9" bestFit="1" customWidth="1" style="6" min="3" max="3"/>
    <col width="9" bestFit="1" customWidth="1" style="6" min="4" max="4"/>
    <col width="9" bestFit="1" customWidth="1" style="24" min="5" max="5"/>
    <col width="9" bestFit="1" customWidth="1" style="6" min="6" max="6"/>
    <col width="9" bestFit="1" customWidth="1" style="6" min="7" max="7"/>
    <col width="14" bestFit="1" customWidth="1" style="25" min="8" max="8"/>
    <col width="14" bestFit="1" customWidth="1" style="6" min="9" max="9"/>
    <col width="13" bestFit="1" customWidth="1" style="25" min="10" max="10"/>
    <col width="14" bestFit="1" customWidth="1" style="6" min="11" max="11"/>
    <col width="14" bestFit="1" customWidth="1" style="6" min="12" max="12"/>
    <col width="14" bestFit="1" customWidth="1" style="6" min="13" max="13"/>
    <col width="14" bestFit="1" customWidth="1" style="6" min="14" max="14"/>
    <col width="14" bestFit="1" customWidth="1" style="6" min="15" max="15"/>
    <col width="14" customWidth="1" min="16" max="16"/>
    <col width="15" customWidth="1" min="17" max="17"/>
    <col width="15" customWidth="1" min="18" max="18"/>
    <col width="13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0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4" customWidth="1" min="33" max="33"/>
    <col width="14" customWidth="1" min="34" max="34"/>
    <col width="15" customWidth="1" min="35" max="35"/>
    <col width="15" customWidth="1" min="36" max="36"/>
    <col width="14" customWidth="1" min="37" max="37"/>
    <col width="14" customWidth="1" min="38" max="38"/>
    <col width="11" customWidth="1" min="39" max="39"/>
    <col width="55" customWidth="1" min="40" max="40"/>
    <col width="28" customWidth="1" min="41" max="41"/>
  </cols>
  <sheetData>
    <row r="1" ht="18.75" customHeight="1">
      <c r="A1" s="30" t="inlineStr">
        <is>
          <t>Tablero Operativo Mensual 2026 - por tier (anual/mensual + packs)</t>
        </is>
      </c>
      <c r="B1" s="24" t="n"/>
      <c r="C1" s="6" t="n"/>
      <c r="D1" s="6" t="n"/>
      <c r="E1" s="24" t="n"/>
      <c r="F1" s="6" t="n"/>
      <c r="G1" s="6" t="n"/>
      <c r="H1" s="25" t="n"/>
      <c r="I1" s="6" t="n"/>
      <c r="J1" s="25" t="n"/>
      <c r="K1" s="6" t="n"/>
      <c r="L1" s="6" t="n"/>
      <c r="M1" s="6" t="n"/>
      <c r="N1" s="6" t="n"/>
      <c r="O1" s="6" t="n"/>
    </row>
    <row r="2" ht="18.75" customHeight="1">
      <c r="A2" s="31" t="inlineStr">
        <is>
          <t>ARPU Corrector (EUR/mes)</t>
        </is>
      </c>
      <c r="B2" s="32" t="n">
        <v>24</v>
      </c>
      <c r="C2" s="33" t="inlineStr">
        <is>
          <t>ARPU Profesional (EUR/mes)</t>
        </is>
      </c>
      <c r="D2" s="34" t="n">
        <v>49</v>
      </c>
      <c r="E2" s="35" t="inlineStr">
        <is>
          <t>ARPU Editorial (EUR/mes)</t>
        </is>
      </c>
      <c r="F2" s="34" t="n">
        <v>159</v>
      </c>
      <c r="G2" s="6" t="n"/>
      <c r="H2" s="36" t="inlineStr">
        <is>
          <t>Churn obj Corrector</t>
        </is>
      </c>
      <c r="I2" s="37" t="n">
        <v>0.06</v>
      </c>
      <c r="J2" s="36" t="inlineStr">
        <is>
          <t>Churn obj Profesional</t>
        </is>
      </c>
      <c r="K2" s="37" t="n">
        <v>0.04</v>
      </c>
      <c r="L2" s="33" t="inlineStr">
        <is>
          <t>Churn obj Editorial</t>
        </is>
      </c>
      <c r="M2" s="37" t="n">
        <v>0.03</v>
      </c>
      <c r="N2" s="33" t="inlineStr">
        <is>
          <t>Conv obj C-&gt;P (ratio)</t>
        </is>
      </c>
      <c r="O2" s="37" t="n">
        <v>0.02</v>
      </c>
      <c r="P2" s="38" t="inlineStr">
        <is>
          <t>Conv obj P-&gt;E (ratio)</t>
        </is>
      </c>
      <c r="Q2" s="39" t="n">
        <v>0.005</v>
      </c>
      <c r="R2" s="38" t="inlineStr">
        <is>
          <t>Descuento anual</t>
        </is>
      </c>
      <c r="S2" s="39" t="n">
        <v>0.25</v>
      </c>
      <c r="T2" s="38" t="inlineStr">
        <is>
          <t>Share anual Corrector</t>
        </is>
      </c>
      <c r="U2" s="39" t="n">
        <v>0.2</v>
      </c>
      <c r="V2" s="38" t="inlineStr">
        <is>
          <t>Share anual Profesional</t>
        </is>
      </c>
      <c r="W2" s="39" t="n">
        <v>0.25</v>
      </c>
      <c r="X2" s="38" t="inlineStr">
        <is>
          <t>Share anual Editorial</t>
        </is>
      </c>
      <c r="Y2" s="39" t="n">
        <v>0.3</v>
      </c>
      <c r="Z2" s="38" t="inlineStr">
        <is>
          <t>Ratio packs obj Corrector s/MRR</t>
        </is>
      </c>
      <c r="AA2" s="39" t="n">
        <v>0.03</v>
      </c>
      <c r="AB2" s="38" t="inlineStr">
        <is>
          <t>Ratio packs obj Profesional s/MRR</t>
        </is>
      </c>
      <c r="AC2" s="39" t="n">
        <v>0.02</v>
      </c>
    </row>
    <row r="3" ht="18.75" customHeight="1">
      <c r="A3" s="31" t="inlineStr">
        <is>
          <t>Objetivo anual clientes por tier</t>
        </is>
      </c>
      <c r="B3" s="40" t="n">
        <v>50</v>
      </c>
      <c r="C3" s="6" t="n"/>
      <c r="D3" s="34" t="n">
        <v>30</v>
      </c>
      <c r="E3" s="24" t="n"/>
      <c r="F3" s="34" t="n">
        <v>10</v>
      </c>
      <c r="G3" s="33" t="inlineStr">
        <is>
          <t>Total anual objetivo</t>
        </is>
      </c>
      <c r="H3" s="25">
        <f>SUM(B3,D3,F3)</f>
        <v/>
      </c>
      <c r="I3" s="6" t="n"/>
      <c r="J3" s="25" t="n"/>
      <c r="K3" s="6" t="n"/>
      <c r="L3" s="6" t="n"/>
      <c r="M3" s="6" t="n"/>
      <c r="N3" s="6" t="n"/>
      <c r="O3" s="6" t="n"/>
    </row>
    <row r="4" ht="18.75" customHeight="1">
      <c r="A4" s="23" t="n"/>
      <c r="B4" s="24" t="n"/>
      <c r="C4" s="6" t="n"/>
      <c r="D4" s="6" t="n"/>
      <c r="E4" s="24" t="n"/>
      <c r="F4" s="6" t="n"/>
      <c r="G4" s="6" t="n"/>
      <c r="H4" s="25" t="n"/>
      <c r="I4" s="6" t="n"/>
      <c r="J4" s="25" t="n"/>
      <c r="K4" s="6" t="n"/>
      <c r="L4" s="6" t="n"/>
      <c r="M4" s="6" t="n"/>
      <c r="N4" s="6" t="n"/>
      <c r="O4" s="6" t="n"/>
    </row>
    <row r="5" ht="18.75" customFormat="1" customHeight="1" s="3">
      <c r="A5" s="41" t="inlineStr">
        <is>
          <t>Mes</t>
        </is>
      </c>
      <c r="B5" s="42" t="inlineStr">
        <is>
          <t>C_obj</t>
        </is>
      </c>
      <c r="C5" s="41" t="inlineStr">
        <is>
          <t>C_real</t>
        </is>
      </c>
      <c r="D5" s="41" t="inlineStr">
        <is>
          <t>P_obj</t>
        </is>
      </c>
      <c r="E5" s="42" t="inlineStr">
        <is>
          <t>P_real</t>
        </is>
      </c>
      <c r="F5" s="41" t="inlineStr">
        <is>
          <t>E_obj</t>
        </is>
      </c>
      <c r="G5" s="41" t="inlineStr">
        <is>
          <t>E_real</t>
        </is>
      </c>
      <c r="H5" s="43" t="inlineStr">
        <is>
          <t>Clientes_obj_total</t>
        </is>
      </c>
      <c r="I5" s="41" t="inlineStr">
        <is>
          <t>Clientes_real_total</t>
        </is>
      </c>
      <c r="J5" s="43" t="inlineStr">
        <is>
          <t>Delta_clientes_pct</t>
        </is>
      </c>
      <c r="K5" s="41" t="inlineStr">
        <is>
          <t>MRR_obj_C_base_EUR</t>
        </is>
      </c>
      <c r="L5" s="41" t="inlineStr">
        <is>
          <t>MRR_real_C_base_EUR</t>
        </is>
      </c>
      <c r="M5" s="41" t="inlineStr">
        <is>
          <t>MRR_obj_P_base_EUR</t>
        </is>
      </c>
      <c r="N5" s="41" t="inlineStr">
        <is>
          <t>MRR_real_P_base_EUR</t>
        </is>
      </c>
      <c r="O5" s="41" t="inlineStr">
        <is>
          <t>MRR_obj_E_base_EUR</t>
        </is>
      </c>
      <c r="P5" s="44" t="inlineStr">
        <is>
          <t>MRR_real_E_base_EUR</t>
        </is>
      </c>
      <c r="Q5" s="44" t="inlineStr">
        <is>
          <t>MRR_obj_total_base_EUR</t>
        </is>
      </c>
      <c r="R5" s="44" t="inlineStr">
        <is>
          <t>MRR_real_total_base_EUR</t>
        </is>
      </c>
      <c r="S5" s="44" t="inlineStr">
        <is>
          <t>Delta_MRR_base_pct</t>
        </is>
      </c>
      <c r="T5" s="44" t="inlineStr">
        <is>
          <t>Upg_C2P_obj</t>
        </is>
      </c>
      <c r="U5" s="44" t="inlineStr">
        <is>
          <t>Upg_C2P_real</t>
        </is>
      </c>
      <c r="V5" s="44" t="inlineStr">
        <is>
          <t>Upg_P2E_obj</t>
        </is>
      </c>
      <c r="W5" s="44" t="inlineStr">
        <is>
          <t>Upg_P2E_real</t>
        </is>
      </c>
      <c r="X5" s="44" t="inlineStr">
        <is>
          <t>Churn_C_real</t>
        </is>
      </c>
      <c r="Y5" s="44" t="inlineStr">
        <is>
          <t>Churn_P_real</t>
        </is>
      </c>
      <c r="Z5" s="44" t="inlineStr">
        <is>
          <t>Churn_E_real</t>
        </is>
      </c>
      <c r="AA5" s="44" t="inlineStr">
        <is>
          <t>Soporte_h</t>
        </is>
      </c>
      <c r="AB5" s="44" t="inlineStr">
        <is>
          <t>Comercial_EUR</t>
        </is>
      </c>
      <c r="AC5" s="44" t="inlineStr">
        <is>
          <t>Packs_obj_C_EUR</t>
        </is>
      </c>
      <c r="AD5" s="44" t="inlineStr">
        <is>
          <t>Packs_real_C_EUR</t>
        </is>
      </c>
      <c r="AE5" s="44" t="inlineStr">
        <is>
          <t>Packs_obj_P_EUR</t>
        </is>
      </c>
      <c r="AF5" s="44" t="inlineStr">
        <is>
          <t>Packs_real_P_EUR</t>
        </is>
      </c>
      <c r="AG5" s="44" t="inlineStr">
        <is>
          <t>Packs_obj_total_EUR</t>
        </is>
      </c>
      <c r="AH5" s="44" t="inlineStr">
        <is>
          <t>Packs_real_total_EUR</t>
        </is>
      </c>
      <c r="AI5" s="44" t="inlineStr">
        <is>
          <t>Ingresos_obj_total_EUR</t>
        </is>
      </c>
      <c r="AJ5" s="44" t="inlineStr">
        <is>
          <t>Ingresos_real_total_EUR</t>
        </is>
      </c>
      <c r="AK5" s="44" t="inlineStr">
        <is>
          <t>Delta_ingresos_total_pct</t>
        </is>
      </c>
      <c r="AL5" s="44" t="inlineStr">
        <is>
          <t>Mix_anual_ponderado</t>
        </is>
      </c>
      <c r="AM5" s="44" t="inlineStr">
        <is>
          <t>Semaforo</t>
        </is>
      </c>
      <c r="AN5" s="44" t="inlineStr">
        <is>
          <t>Accion_recomendada</t>
        </is>
      </c>
      <c r="AO5" s="44" t="inlineStr">
        <is>
          <t>Comentario_facturacion</t>
        </is>
      </c>
    </row>
    <row r="6" ht="18.75" customFormat="1" customHeight="1" s="3">
      <c r="A6" s="20" t="inlineStr">
        <is>
          <t>M1</t>
        </is>
      </c>
      <c r="B6" s="17" t="n">
        <v>4</v>
      </c>
      <c r="C6" s="20" t="n"/>
      <c r="D6" s="18" t="n">
        <v>1</v>
      </c>
      <c r="E6" s="19" t="n"/>
      <c r="F6" s="19" t="n">
        <v>0</v>
      </c>
      <c r="G6" s="18" t="n"/>
      <c r="H6" s="18">
        <f>SUM(B6,D6,F6)</f>
        <v/>
      </c>
      <c r="I6" s="18">
        <f>SUM(C6,E6,G6)</f>
        <v/>
      </c>
      <c r="J6" s="45">
        <f>IF(H6=0,"",I6/H6-1)</f>
        <v/>
      </c>
      <c r="K6" s="46">
        <f>ROUND(B6*$B$2*(1-$S$2*$U$2),2)</f>
        <v/>
      </c>
      <c r="L6" s="46">
        <f>IF(C6="","",ROUND(C6*$B$2*(1-$S$2*$U$2),2))</f>
        <v/>
      </c>
      <c r="M6" s="46">
        <f>ROUND(D6*$D$2*(1-$S$2*$W$2),2)</f>
        <v/>
      </c>
      <c r="N6" s="46">
        <f>IF(E6="","",ROUND(E6*$D$2*(1-$S$2*$W$2),2))</f>
        <v/>
      </c>
      <c r="O6" s="46">
        <f>ROUND(F6*$F$2*(1-$S$2*$Y$2),2)</f>
        <v/>
      </c>
      <c r="P6" s="47">
        <f>IF(G6="","",ROUND(G6*$F$2*(1-$S$2*$Y$2),2))</f>
        <v/>
      </c>
      <c r="Q6" s="47">
        <f>SUM(K6,M6,O6)</f>
        <v/>
      </c>
      <c r="R6" s="47">
        <f>SUM(L6,N6,P6)</f>
        <v/>
      </c>
      <c r="S6" s="39">
        <f>IF(Q6=0,"",R6/Q6-1)</f>
        <v/>
      </c>
      <c r="T6" s="51">
        <f>IF(C6="","",ROUND(C6*$O$2,0))</f>
        <v/>
      </c>
      <c r="U6" s="51" t="n"/>
      <c r="V6" s="51">
        <f>IF(E6="","",ROUND(E6*$Q$2,0))</f>
        <v/>
      </c>
      <c r="W6" s="51" t="n"/>
      <c r="X6" s="39" t="n"/>
      <c r="Y6" s="39" t="n"/>
      <c r="Z6" s="39" t="n"/>
      <c r="AA6" s="48" t="n"/>
      <c r="AB6" s="47" t="n"/>
      <c r="AC6" s="47">
        <f>ROUND(K6*$AA$2,2)</f>
        <v/>
      </c>
      <c r="AD6" s="47" t="n"/>
      <c r="AE6" s="47">
        <f>ROUND(M6*$AC$2,2)</f>
        <v/>
      </c>
      <c r="AF6" s="47" t="n"/>
      <c r="AG6" s="47">
        <f>SUM(AC6,AE6)</f>
        <v/>
      </c>
      <c r="AH6" s="47">
        <f>SUM(AD6,AF6)</f>
        <v/>
      </c>
      <c r="AI6" s="47">
        <f>Q6+AG6</f>
        <v/>
      </c>
      <c r="AJ6" s="47">
        <f>R6+AH6</f>
        <v/>
      </c>
      <c r="AK6" s="39">
        <f>IF(AI6=0,"",AJ6/AI6-1)</f>
        <v/>
      </c>
      <c r="AL6" s="39">
        <f>IF(I6=0,"",(C6*$U$2+E6*$W$2+G6*$Y$2)/I6)</f>
        <v/>
      </c>
      <c r="AM6">
        <f>IF(OR(I6&lt;0.85*H6,AJ6&lt;0.85*AI6,X6&gt;$I$2+0.01,Y6&gt;$K$2+0.01,Z6&gt;$M$2+0.01,AND(T6&gt;0,U6&lt;0.8*T6),AND(V6&gt;0,W6&lt;0.8*V6)),"ROJO",IF(OR(I6&lt;0.95*H6,AJ6&lt;0.95*AI6,X6&gt;$I$2,Y6&gt;$K$2,Z6&gt;$M$2,AND(T6&gt;0,U6&lt;0.95*T6),AND(V6&gt;0,W6&lt;0.95*V6)),"AMARILLO","VERDE"))</f>
        <v/>
      </c>
      <c r="AN6">
        <f>IF(AM6="ROJO","Plan choque 30d por tier (retencion+upsell+captacion)",IF(AM6="AMARILLO","Ajuste tactico por tier (onboarding+valor+canales)","Mantener plan y optimizar mix anual/mensual y conversion"))</f>
        <v/>
      </c>
    </row>
    <row r="7" ht="18.75" customFormat="1" customHeight="1" s="3">
      <c r="A7" s="20" t="inlineStr">
        <is>
          <t>M2</t>
        </is>
      </c>
      <c r="B7" s="17" t="n">
        <v>8</v>
      </c>
      <c r="C7" s="20" t="n"/>
      <c r="D7" s="18" t="n">
        <v>3</v>
      </c>
      <c r="E7" s="19" t="n"/>
      <c r="F7" s="19" t="n">
        <v>1</v>
      </c>
      <c r="G7" s="18" t="n"/>
      <c r="H7" s="18">
        <f>SUM(B7,D7,F7)</f>
        <v/>
      </c>
      <c r="I7" s="18">
        <f>SUM(C7,E7,G7)</f>
        <v/>
      </c>
      <c r="J7" s="45">
        <f>IF(H7=0,"",I7/H7-1)</f>
        <v/>
      </c>
      <c r="K7" s="46">
        <f>ROUND(B7*$B$2*(1-$S$2*$U$2),2)</f>
        <v/>
      </c>
      <c r="L7" s="46">
        <f>IF(C7="","",ROUND(C7*$B$2*(1-$S$2*$U$2),2))</f>
        <v/>
      </c>
      <c r="M7" s="46">
        <f>ROUND(D7*$D$2*(1-$S$2*$W$2),2)</f>
        <v/>
      </c>
      <c r="N7" s="46">
        <f>IF(E7="","",ROUND(E7*$D$2*(1-$S$2*$W$2),2))</f>
        <v/>
      </c>
      <c r="O7" s="46">
        <f>ROUND(F7*$F$2*(1-$S$2*$Y$2),2)</f>
        <v/>
      </c>
      <c r="P7" s="47">
        <f>IF(G7="","",ROUND(G7*$F$2*(1-$S$2*$Y$2),2))</f>
        <v/>
      </c>
      <c r="Q7" s="47">
        <f>SUM(K7,M7,O7)</f>
        <v/>
      </c>
      <c r="R7" s="47">
        <f>SUM(L7,N7,P7)</f>
        <v/>
      </c>
      <c r="S7" s="39">
        <f>IF(Q7=0,"",R7/Q7-1)</f>
        <v/>
      </c>
      <c r="T7" s="51">
        <f>IF(C7="","",ROUND(C7*$O$2,0))</f>
        <v/>
      </c>
      <c r="U7" s="51" t="n"/>
      <c r="V7" s="51">
        <f>IF(E7="","",ROUND(E7*$Q$2,0))</f>
        <v/>
      </c>
      <c r="W7" s="51" t="n"/>
      <c r="X7" s="39" t="n"/>
      <c r="Y7" s="39" t="n"/>
      <c r="Z7" s="39" t="n"/>
      <c r="AA7" s="48" t="n"/>
      <c r="AB7" s="47" t="n"/>
      <c r="AC7" s="47">
        <f>ROUND(K7*$AA$2,2)</f>
        <v/>
      </c>
      <c r="AD7" s="47" t="n"/>
      <c r="AE7" s="47">
        <f>ROUND(M7*$AC$2,2)</f>
        <v/>
      </c>
      <c r="AF7" s="47" t="n"/>
      <c r="AG7" s="47">
        <f>SUM(AC7,AE7)</f>
        <v/>
      </c>
      <c r="AH7" s="47">
        <f>SUM(AD7,AF7)</f>
        <v/>
      </c>
      <c r="AI7" s="47">
        <f>Q7+AG7</f>
        <v/>
      </c>
      <c r="AJ7" s="47">
        <f>R7+AH7</f>
        <v/>
      </c>
      <c r="AK7" s="39">
        <f>IF(AI7=0,"",AJ7/AI7-1)</f>
        <v/>
      </c>
      <c r="AL7" s="39">
        <f>IF(I7=0,"",(C7*$U$2+E7*$W$2+G7*$Y$2)/I7)</f>
        <v/>
      </c>
      <c r="AM7">
        <f>IF(OR(I7&lt;0.85*H7,AJ7&lt;0.85*AI7,X7&gt;$I$2+0.01,Y7&gt;$K$2+0.01,Z7&gt;$M$2+0.01,AND(T7&gt;0,U7&lt;0.8*T7),AND(V7&gt;0,W7&lt;0.8*V7)),"ROJO",IF(OR(I7&lt;0.95*H7,AJ7&lt;0.95*AI7,X7&gt;$I$2,Y7&gt;$K$2,Z7&gt;$M$2,AND(T7&gt;0,U7&lt;0.95*T7),AND(V7&gt;0,W7&lt;0.95*V7)),"AMARILLO","VERDE"))</f>
        <v/>
      </c>
      <c r="AN7">
        <f>IF(AM7="ROJO","Plan choque 30d por tier (retencion+upsell+captacion)",IF(AM7="AMARILLO","Ajuste tactico por tier (onboarding+valor+canales)","Mantener plan y optimizar mix anual/mensual y conversion"))</f>
        <v/>
      </c>
    </row>
    <row r="8" ht="18.75" customFormat="1" customHeight="1" s="3">
      <c r="A8" s="20" t="inlineStr">
        <is>
          <t>M3</t>
        </is>
      </c>
      <c r="B8" s="17" t="n">
        <v>13</v>
      </c>
      <c r="C8" s="20" t="n"/>
      <c r="D8" s="18" t="n">
        <v>5</v>
      </c>
      <c r="E8" s="19" t="n"/>
      <c r="F8" s="19" t="n">
        <v>2</v>
      </c>
      <c r="G8" s="18" t="n"/>
      <c r="H8" s="18">
        <f>SUM(B8,D8,F8)</f>
        <v/>
      </c>
      <c r="I8" s="18">
        <f>SUM(C8,E8,G8)</f>
        <v/>
      </c>
      <c r="J8" s="45">
        <f>IF(H8=0,"",I8/H8-1)</f>
        <v/>
      </c>
      <c r="K8" s="46">
        <f>ROUND(B8*$B$2*(1-$S$2*$U$2),2)</f>
        <v/>
      </c>
      <c r="L8" s="46">
        <f>IF(C8="","",ROUND(C8*$B$2*(1-$S$2*$U$2),2))</f>
        <v/>
      </c>
      <c r="M8" s="46">
        <f>ROUND(D8*$D$2*(1-$S$2*$W$2),2)</f>
        <v/>
      </c>
      <c r="N8" s="46">
        <f>IF(E8="","",ROUND(E8*$D$2*(1-$S$2*$W$2),2))</f>
        <v/>
      </c>
      <c r="O8" s="46">
        <f>ROUND(F8*$F$2*(1-$S$2*$Y$2),2)</f>
        <v/>
      </c>
      <c r="P8" s="47">
        <f>IF(G8="","",ROUND(G8*$F$2*(1-$S$2*$Y$2),2))</f>
        <v/>
      </c>
      <c r="Q8" s="47">
        <f>SUM(K8,M8,O8)</f>
        <v/>
      </c>
      <c r="R8" s="47">
        <f>SUM(L8,N8,P8)</f>
        <v/>
      </c>
      <c r="S8" s="39">
        <f>IF(Q8=0,"",R8/Q8-1)</f>
        <v/>
      </c>
      <c r="T8" s="51">
        <f>IF(C8="","",ROUND(C8*$O$2,0))</f>
        <v/>
      </c>
      <c r="U8" s="51" t="n"/>
      <c r="V8" s="51">
        <f>IF(E8="","",ROUND(E8*$Q$2,0))</f>
        <v/>
      </c>
      <c r="W8" s="51" t="n"/>
      <c r="X8" s="39" t="n"/>
      <c r="Y8" s="39" t="n"/>
      <c r="Z8" s="39" t="n"/>
      <c r="AA8" s="48" t="n"/>
      <c r="AB8" s="47" t="n"/>
      <c r="AC8" s="47">
        <f>ROUND(K8*$AA$2,2)</f>
        <v/>
      </c>
      <c r="AD8" s="47" t="n"/>
      <c r="AE8" s="47">
        <f>ROUND(M8*$AC$2,2)</f>
        <v/>
      </c>
      <c r="AF8" s="47" t="n"/>
      <c r="AG8" s="47">
        <f>SUM(AC8,AE8)</f>
        <v/>
      </c>
      <c r="AH8" s="47">
        <f>SUM(AD8,AF8)</f>
        <v/>
      </c>
      <c r="AI8" s="47">
        <f>Q8+AG8</f>
        <v/>
      </c>
      <c r="AJ8" s="47">
        <f>R8+AH8</f>
        <v/>
      </c>
      <c r="AK8" s="39">
        <f>IF(AI8=0,"",AJ8/AI8-1)</f>
        <v/>
      </c>
      <c r="AL8" s="39">
        <f>IF(I8=0,"",(C8*$U$2+E8*$W$2+G8*$Y$2)/I8)</f>
        <v/>
      </c>
      <c r="AM8">
        <f>IF(OR(I8&lt;0.85*H8,AJ8&lt;0.85*AI8,X8&gt;$I$2+0.01,Y8&gt;$K$2+0.01,Z8&gt;$M$2+0.01,AND(T8&gt;0,U8&lt;0.8*T8),AND(V8&gt;0,W8&lt;0.8*V8)),"ROJO",IF(OR(I8&lt;0.95*H8,AJ8&lt;0.95*AI8,X8&gt;$I$2,Y8&gt;$K$2,Z8&gt;$M$2,AND(T8&gt;0,U8&lt;0.95*T8),AND(V8&gt;0,W8&lt;0.95*V8)),"AMARILLO","VERDE"))</f>
        <v/>
      </c>
      <c r="AN8">
        <f>IF(AM8="ROJO","Plan choque 30d por tier (retencion+upsell+captacion)",IF(AM8="AMARILLO","Ajuste tactico por tier (onboarding+valor+canales)","Mantener plan y optimizar mix anual/mensual y conversion"))</f>
        <v/>
      </c>
    </row>
    <row r="9" ht="18.75" customFormat="1" customHeight="1" s="3">
      <c r="A9" s="20" t="inlineStr">
        <is>
          <t>M4</t>
        </is>
      </c>
      <c r="B9" s="17" t="n">
        <v>19</v>
      </c>
      <c r="C9" s="20" t="n"/>
      <c r="D9" s="18" t="n">
        <v>8</v>
      </c>
      <c r="E9" s="19" t="n"/>
      <c r="F9" s="19" t="n">
        <v>1</v>
      </c>
      <c r="G9" s="18" t="n"/>
      <c r="H9" s="18">
        <f>SUM(B9,D9,F9)</f>
        <v/>
      </c>
      <c r="I9" s="18">
        <f>SUM(C9,E9,G9)</f>
        <v/>
      </c>
      <c r="J9" s="45">
        <f>IF(H9=0,"",I9/H9-1)</f>
        <v/>
      </c>
      <c r="K9" s="46">
        <f>ROUND(B9*$B$2*(1-$S$2*$U$2),2)</f>
        <v/>
      </c>
      <c r="L9" s="46">
        <f>IF(C9="","",ROUND(C9*$B$2*(1-$S$2*$U$2),2))</f>
        <v/>
      </c>
      <c r="M9" s="46">
        <f>ROUND(D9*$D$2*(1-$S$2*$W$2),2)</f>
        <v/>
      </c>
      <c r="N9" s="46">
        <f>IF(E9="","",ROUND(E9*$D$2*(1-$S$2*$W$2),2))</f>
        <v/>
      </c>
      <c r="O9" s="46">
        <f>ROUND(F9*$F$2*(1-$S$2*$Y$2),2)</f>
        <v/>
      </c>
      <c r="P9" s="47">
        <f>IF(G9="","",ROUND(G9*$F$2*(1-$S$2*$Y$2),2))</f>
        <v/>
      </c>
      <c r="Q9" s="47">
        <f>SUM(K9,M9,O9)</f>
        <v/>
      </c>
      <c r="R9" s="47">
        <f>SUM(L9,N9,P9)</f>
        <v/>
      </c>
      <c r="S9" s="39">
        <f>IF(Q9=0,"",R9/Q9-1)</f>
        <v/>
      </c>
      <c r="T9" s="51">
        <f>IF(C9="","",ROUND(C9*$O$2,0))</f>
        <v/>
      </c>
      <c r="U9" s="51" t="n"/>
      <c r="V9" s="51">
        <f>IF(E9="","",ROUND(E9*$Q$2,0))</f>
        <v/>
      </c>
      <c r="W9" s="51" t="n"/>
      <c r="X9" s="39" t="n"/>
      <c r="Y9" s="39" t="n"/>
      <c r="Z9" s="39" t="n"/>
      <c r="AA9" s="48" t="n"/>
      <c r="AB9" s="47" t="n"/>
      <c r="AC9" s="47">
        <f>ROUND(K9*$AA$2,2)</f>
        <v/>
      </c>
      <c r="AD9" s="47" t="n"/>
      <c r="AE9" s="47">
        <f>ROUND(M9*$AC$2,2)</f>
        <v/>
      </c>
      <c r="AF9" s="47" t="n"/>
      <c r="AG9" s="47">
        <f>SUM(AC9,AE9)</f>
        <v/>
      </c>
      <c r="AH9" s="47">
        <f>SUM(AD9,AF9)</f>
        <v/>
      </c>
      <c r="AI9" s="47">
        <f>Q9+AG9</f>
        <v/>
      </c>
      <c r="AJ9" s="47">
        <f>R9+AH9</f>
        <v/>
      </c>
      <c r="AK9" s="39">
        <f>IF(AI9=0,"",AJ9/AI9-1)</f>
        <v/>
      </c>
      <c r="AL9" s="39">
        <f>IF(I9=0,"",(C9*$U$2+E9*$W$2+G9*$Y$2)/I9)</f>
        <v/>
      </c>
      <c r="AM9">
        <f>IF(OR(I9&lt;0.85*H9,AJ9&lt;0.85*AI9,X9&gt;$I$2+0.01,Y9&gt;$K$2+0.01,Z9&gt;$M$2+0.01,AND(T9&gt;0,U9&lt;0.8*T9),AND(V9&gt;0,W9&lt;0.8*V9)),"ROJO",IF(OR(I9&lt;0.95*H9,AJ9&lt;0.95*AI9,X9&gt;$I$2,Y9&gt;$K$2,Z9&gt;$M$2,AND(T9&gt;0,U9&lt;0.95*T9),AND(V9&gt;0,W9&lt;0.95*V9)),"AMARILLO","VERDE"))</f>
        <v/>
      </c>
      <c r="AN9">
        <f>IF(AM9="ROJO","Plan choque 30d por tier (retencion+upsell+captacion)",IF(AM9="AMARILLO","Ajuste tactico por tier (onboarding+valor+canales)","Mantener plan y optimizar mix anual/mensual y conversion"))</f>
        <v/>
      </c>
    </row>
    <row r="10" ht="18.75" customFormat="1" customHeight="1" s="3">
      <c r="A10" s="20" t="inlineStr">
        <is>
          <t>M5</t>
        </is>
      </c>
      <c r="B10" s="17" t="n">
        <v>23</v>
      </c>
      <c r="C10" s="20" t="n"/>
      <c r="D10" s="18" t="n">
        <v>10</v>
      </c>
      <c r="E10" s="19" t="n"/>
      <c r="F10" s="19" t="n">
        <v>3</v>
      </c>
      <c r="G10" s="18" t="n"/>
      <c r="H10" s="18">
        <f>SUM(B10,D10,F10)</f>
        <v/>
      </c>
      <c r="I10" s="18">
        <f>SUM(C10,E10,G10)</f>
        <v/>
      </c>
      <c r="J10" s="45">
        <f>IF(H10=0,"",I10/H10-1)</f>
        <v/>
      </c>
      <c r="K10" s="46">
        <f>ROUND(B10*$B$2*(1-$S$2*$U$2),2)</f>
        <v/>
      </c>
      <c r="L10" s="46">
        <f>IF(C10="","",ROUND(C10*$B$2*(1-$S$2*$U$2),2))</f>
        <v/>
      </c>
      <c r="M10" s="46">
        <f>ROUND(D10*$D$2*(1-$S$2*$W$2),2)</f>
        <v/>
      </c>
      <c r="N10" s="46">
        <f>IF(E10="","",ROUND(E10*$D$2*(1-$S$2*$W$2),2))</f>
        <v/>
      </c>
      <c r="O10" s="46">
        <f>ROUND(F10*$F$2*(1-$S$2*$Y$2),2)</f>
        <v/>
      </c>
      <c r="P10" s="47">
        <f>IF(G10="","",ROUND(G10*$F$2*(1-$S$2*$Y$2),2))</f>
        <v/>
      </c>
      <c r="Q10" s="47">
        <f>SUM(K10,M10,O10)</f>
        <v/>
      </c>
      <c r="R10" s="47">
        <f>SUM(L10,N10,P10)</f>
        <v/>
      </c>
      <c r="S10" s="39">
        <f>IF(Q10=0,"",R10/Q10-1)</f>
        <v/>
      </c>
      <c r="T10" s="51">
        <f>IF(C10="","",ROUND(C10*$O$2,0))</f>
        <v/>
      </c>
      <c r="U10" s="51" t="n"/>
      <c r="V10" s="51">
        <f>IF(E10="","",ROUND(E10*$Q$2,0))</f>
        <v/>
      </c>
      <c r="W10" s="51" t="n"/>
      <c r="X10" s="39" t="n"/>
      <c r="Y10" s="39" t="n"/>
      <c r="Z10" s="39" t="n"/>
      <c r="AA10" s="48" t="n"/>
      <c r="AB10" s="47" t="n"/>
      <c r="AC10" s="47">
        <f>ROUND(K10*$AA$2,2)</f>
        <v/>
      </c>
      <c r="AD10" s="47" t="n"/>
      <c r="AE10" s="47">
        <f>ROUND(M10*$AC$2,2)</f>
        <v/>
      </c>
      <c r="AF10" s="47" t="n"/>
      <c r="AG10" s="47">
        <f>SUM(AC10,AE10)</f>
        <v/>
      </c>
      <c r="AH10" s="47">
        <f>SUM(AD10,AF10)</f>
        <v/>
      </c>
      <c r="AI10" s="47">
        <f>Q10+AG10</f>
        <v/>
      </c>
      <c r="AJ10" s="47">
        <f>R10+AH10</f>
        <v/>
      </c>
      <c r="AK10" s="39">
        <f>IF(AI10=0,"",AJ10/AI10-1)</f>
        <v/>
      </c>
      <c r="AL10" s="39">
        <f>IF(I10=0,"",(C10*$U$2+E10*$W$2+G10*$Y$2)/I10)</f>
        <v/>
      </c>
      <c r="AM10">
        <f>IF(OR(I10&lt;0.85*H10,AJ10&lt;0.85*AI10,X10&gt;$I$2+0.01,Y10&gt;$K$2+0.01,Z10&gt;$M$2+0.01,AND(T10&gt;0,U10&lt;0.8*T10),AND(V10&gt;0,W10&lt;0.8*V10)),"ROJO",IF(OR(I10&lt;0.95*H10,AJ10&lt;0.95*AI10,X10&gt;$I$2,Y10&gt;$K$2,Z10&gt;$M$2,AND(T10&gt;0,U10&lt;0.95*T10),AND(V10&gt;0,W10&lt;0.95*V10)),"AMARILLO","VERDE"))</f>
        <v/>
      </c>
      <c r="AN10">
        <f>IF(AM10="ROJO","Plan choque 30d por tier (retencion+upsell+captacion)",IF(AM10="AMARILLO","Ajuste tactico por tier (onboarding+valor+canales)","Mantener plan y optimizar mix anual/mensual y conversion"))</f>
        <v/>
      </c>
    </row>
    <row r="11" ht="18.75" customFormat="1" customHeight="1" s="3">
      <c r="A11" s="20" t="inlineStr">
        <is>
          <t>M6</t>
        </is>
      </c>
      <c r="B11" s="17" t="n">
        <v>29</v>
      </c>
      <c r="C11" s="20" t="n"/>
      <c r="D11" s="18" t="n">
        <v>13</v>
      </c>
      <c r="E11" s="19" t="n"/>
      <c r="F11" s="19" t="n">
        <v>3</v>
      </c>
      <c r="G11" s="18" t="n"/>
      <c r="H11" s="18">
        <f>SUM(B11,D11,F11)</f>
        <v/>
      </c>
      <c r="I11" s="18">
        <f>SUM(C11,E11,G11)</f>
        <v/>
      </c>
      <c r="J11" s="45">
        <f>IF(H11=0,"",I11/H11-1)</f>
        <v/>
      </c>
      <c r="K11" s="46">
        <f>ROUND(B11*$B$2*(1-$S$2*$U$2),2)</f>
        <v/>
      </c>
      <c r="L11" s="46">
        <f>IF(C11="","",ROUND(C11*$B$2*(1-$S$2*$U$2),2))</f>
        <v/>
      </c>
      <c r="M11" s="46">
        <f>ROUND(D11*$D$2*(1-$S$2*$W$2),2)</f>
        <v/>
      </c>
      <c r="N11" s="46">
        <f>IF(E11="","",ROUND(E11*$D$2*(1-$S$2*$W$2),2))</f>
        <v/>
      </c>
      <c r="O11" s="46">
        <f>ROUND(F11*$F$2*(1-$S$2*$Y$2),2)</f>
        <v/>
      </c>
      <c r="P11" s="47">
        <f>IF(G11="","",ROUND(G11*$F$2*(1-$S$2*$Y$2),2))</f>
        <v/>
      </c>
      <c r="Q11" s="47">
        <f>SUM(K11,M11,O11)</f>
        <v/>
      </c>
      <c r="R11" s="47">
        <f>SUM(L11,N11,P11)</f>
        <v/>
      </c>
      <c r="S11" s="39">
        <f>IF(Q11=0,"",R11/Q11-1)</f>
        <v/>
      </c>
      <c r="T11" s="51">
        <f>IF(C11="","",ROUND(C11*$O$2,0))</f>
        <v/>
      </c>
      <c r="U11" s="51" t="n"/>
      <c r="V11" s="51">
        <f>IF(E11="","",ROUND(E11*$Q$2,0))</f>
        <v/>
      </c>
      <c r="W11" s="51" t="n"/>
      <c r="X11" s="39" t="n"/>
      <c r="Y11" s="39" t="n"/>
      <c r="Z11" s="39" t="n"/>
      <c r="AA11" s="48" t="n"/>
      <c r="AB11" s="47" t="n"/>
      <c r="AC11" s="47">
        <f>ROUND(K11*$AA$2,2)</f>
        <v/>
      </c>
      <c r="AD11" s="47" t="n"/>
      <c r="AE11" s="47">
        <f>ROUND(M11*$AC$2,2)</f>
        <v/>
      </c>
      <c r="AF11" s="47" t="n"/>
      <c r="AG11" s="47">
        <f>SUM(AC11,AE11)</f>
        <v/>
      </c>
      <c r="AH11" s="47">
        <f>SUM(AD11,AF11)</f>
        <v/>
      </c>
      <c r="AI11" s="47">
        <f>Q11+AG11</f>
        <v/>
      </c>
      <c r="AJ11" s="47">
        <f>R11+AH11</f>
        <v/>
      </c>
      <c r="AK11" s="39">
        <f>IF(AI11=0,"",AJ11/AI11-1)</f>
        <v/>
      </c>
      <c r="AL11" s="39">
        <f>IF(I11=0,"",(C11*$U$2+E11*$W$2+G11*$Y$2)/I11)</f>
        <v/>
      </c>
      <c r="AM11">
        <f>IF(OR(I11&lt;0.85*H11,AJ11&lt;0.85*AI11,X11&gt;$I$2+0.01,Y11&gt;$K$2+0.01,Z11&gt;$M$2+0.01,AND(T11&gt;0,U11&lt;0.8*T11),AND(V11&gt;0,W11&lt;0.8*V11)),"ROJO",IF(OR(I11&lt;0.95*H11,AJ11&lt;0.95*AI11,X11&gt;$I$2,Y11&gt;$K$2,Z11&gt;$M$2,AND(T11&gt;0,U11&lt;0.95*T11),AND(V11&gt;0,W11&lt;0.95*V11)),"AMARILLO","VERDE"))</f>
        <v/>
      </c>
      <c r="AN11">
        <f>IF(AM11="ROJO","Plan choque 30d por tier (retencion+upsell+captacion)",IF(AM11="AMARILLO","Ajuste tactico por tier (onboarding+valor+canales)","Mantener plan y optimizar mix anual/mensual y conversion"))</f>
        <v/>
      </c>
    </row>
    <row r="12" ht="18.75" customFormat="1" customHeight="1" s="3">
      <c r="A12" s="20" t="inlineStr">
        <is>
          <t>M7</t>
        </is>
      </c>
      <c r="B12" s="17" t="n">
        <v>33</v>
      </c>
      <c r="C12" s="20" t="n"/>
      <c r="D12" s="18" t="n">
        <v>16</v>
      </c>
      <c r="E12" s="19" t="n"/>
      <c r="F12" s="19" t="n">
        <v>4</v>
      </c>
      <c r="G12" s="18" t="n"/>
      <c r="H12" s="18">
        <f>SUM(B12,D12,F12)</f>
        <v/>
      </c>
      <c r="I12" s="18">
        <f>SUM(C12,E12,G12)</f>
        <v/>
      </c>
      <c r="J12" s="45">
        <f>IF(H12=0,"",I12/H12-1)</f>
        <v/>
      </c>
      <c r="K12" s="46">
        <f>ROUND(B12*$B$2*(1-$S$2*$U$2),2)</f>
        <v/>
      </c>
      <c r="L12" s="46">
        <f>IF(C12="","",ROUND(C12*$B$2*(1-$S$2*$U$2),2))</f>
        <v/>
      </c>
      <c r="M12" s="46">
        <f>ROUND(D12*$D$2*(1-$S$2*$W$2),2)</f>
        <v/>
      </c>
      <c r="N12" s="46">
        <f>IF(E12="","",ROUND(E12*$D$2*(1-$S$2*$W$2),2))</f>
        <v/>
      </c>
      <c r="O12" s="46">
        <f>ROUND(F12*$F$2*(1-$S$2*$Y$2),2)</f>
        <v/>
      </c>
      <c r="P12" s="47">
        <f>IF(G12="","",ROUND(G12*$F$2*(1-$S$2*$Y$2),2))</f>
        <v/>
      </c>
      <c r="Q12" s="47">
        <f>SUM(K12,M12,O12)</f>
        <v/>
      </c>
      <c r="R12" s="47">
        <f>SUM(L12,N12,P12)</f>
        <v/>
      </c>
      <c r="S12" s="39">
        <f>IF(Q12=0,"",R12/Q12-1)</f>
        <v/>
      </c>
      <c r="T12" s="51">
        <f>IF(C12="","",ROUND(C12*$O$2,0))</f>
        <v/>
      </c>
      <c r="U12" s="51" t="n"/>
      <c r="V12" s="51">
        <f>IF(E12="","",ROUND(E12*$Q$2,0))</f>
        <v/>
      </c>
      <c r="W12" s="51" t="n"/>
      <c r="X12" s="39" t="n"/>
      <c r="Y12" s="39" t="n"/>
      <c r="Z12" s="39" t="n"/>
      <c r="AA12" s="48" t="n"/>
      <c r="AB12" s="47" t="n"/>
      <c r="AC12" s="47">
        <f>ROUND(K12*$AA$2,2)</f>
        <v/>
      </c>
      <c r="AD12" s="47" t="n"/>
      <c r="AE12" s="47">
        <f>ROUND(M12*$AC$2,2)</f>
        <v/>
      </c>
      <c r="AF12" s="47" t="n"/>
      <c r="AG12" s="47">
        <f>SUM(AC12,AE12)</f>
        <v/>
      </c>
      <c r="AH12" s="47">
        <f>SUM(AD12,AF12)</f>
        <v/>
      </c>
      <c r="AI12" s="47">
        <f>Q12+AG12</f>
        <v/>
      </c>
      <c r="AJ12" s="47">
        <f>R12+AH12</f>
        <v/>
      </c>
      <c r="AK12" s="39">
        <f>IF(AI12=0,"",AJ12/AI12-1)</f>
        <v/>
      </c>
      <c r="AL12" s="39">
        <f>IF(I12=0,"",(C12*$U$2+E12*$W$2+G12*$Y$2)/I12)</f>
        <v/>
      </c>
      <c r="AM12">
        <f>IF(OR(I12&lt;0.85*H12,AJ12&lt;0.85*AI12,X12&gt;$I$2+0.01,Y12&gt;$K$2+0.01,Z12&gt;$M$2+0.01,AND(T12&gt;0,U12&lt;0.8*T12),AND(V12&gt;0,W12&lt;0.8*V12)),"ROJO",IF(OR(I12&lt;0.95*H12,AJ12&lt;0.95*AI12,X12&gt;$I$2,Y12&gt;$K$2,Z12&gt;$M$2,AND(T12&gt;0,U12&lt;0.95*T12),AND(V12&gt;0,W12&lt;0.95*V12)),"AMARILLO","VERDE"))</f>
        <v/>
      </c>
      <c r="AN12">
        <f>IF(AM12="ROJO","Plan choque 30d por tier (retencion+upsell+captacion)",IF(AM12="AMARILLO","Ajuste tactico por tier (onboarding+valor+canales)","Mantener plan y optimizar mix anual/mensual y conversion"))</f>
        <v/>
      </c>
    </row>
    <row r="13" ht="18.75" customFormat="1" customHeight="1" s="3">
      <c r="A13" s="20" t="inlineStr">
        <is>
          <t>M8</t>
        </is>
      </c>
      <c r="B13" s="17" t="n">
        <v>37</v>
      </c>
      <c r="C13" s="20" t="n"/>
      <c r="D13" s="18" t="n">
        <v>18</v>
      </c>
      <c r="E13" s="19" t="n"/>
      <c r="F13" s="19" t="n">
        <v>6</v>
      </c>
      <c r="G13" s="18" t="n"/>
      <c r="H13" s="18">
        <f>SUM(B13,D13,F13)</f>
        <v/>
      </c>
      <c r="I13" s="18">
        <f>SUM(C13,E13,G13)</f>
        <v/>
      </c>
      <c r="J13" s="45">
        <f>IF(H13=0,"",I13/H13-1)</f>
        <v/>
      </c>
      <c r="K13" s="46">
        <f>ROUND(B13*$B$2*(1-$S$2*$U$2),2)</f>
        <v/>
      </c>
      <c r="L13" s="46">
        <f>IF(C13="","",ROUND(C13*$B$2*(1-$S$2*$U$2),2))</f>
        <v/>
      </c>
      <c r="M13" s="46">
        <f>ROUND(D13*$D$2*(1-$S$2*$W$2),2)</f>
        <v/>
      </c>
      <c r="N13" s="46">
        <f>IF(E13="","",ROUND(E13*$D$2*(1-$S$2*$W$2),2))</f>
        <v/>
      </c>
      <c r="O13" s="46">
        <f>ROUND(F13*$F$2*(1-$S$2*$Y$2),2)</f>
        <v/>
      </c>
      <c r="P13" s="47">
        <f>IF(G13="","",ROUND(G13*$F$2*(1-$S$2*$Y$2),2))</f>
        <v/>
      </c>
      <c r="Q13" s="47">
        <f>SUM(K13,M13,O13)</f>
        <v/>
      </c>
      <c r="R13" s="47">
        <f>SUM(L13,N13,P13)</f>
        <v/>
      </c>
      <c r="S13" s="39">
        <f>IF(Q13=0,"",R13/Q13-1)</f>
        <v/>
      </c>
      <c r="T13" s="51">
        <f>IF(C13="","",ROUND(C13*$O$2,0))</f>
        <v/>
      </c>
      <c r="U13" s="51" t="n"/>
      <c r="V13" s="51">
        <f>IF(E13="","",ROUND(E13*$Q$2,0))</f>
        <v/>
      </c>
      <c r="W13" s="51" t="n"/>
      <c r="X13" s="39" t="n"/>
      <c r="Y13" s="39" t="n"/>
      <c r="Z13" s="39" t="n"/>
      <c r="AA13" s="48" t="n"/>
      <c r="AB13" s="47" t="n"/>
      <c r="AC13" s="47">
        <f>ROUND(K13*$AA$2,2)</f>
        <v/>
      </c>
      <c r="AD13" s="47" t="n"/>
      <c r="AE13" s="47">
        <f>ROUND(M13*$AC$2,2)</f>
        <v/>
      </c>
      <c r="AF13" s="47" t="n"/>
      <c r="AG13" s="47">
        <f>SUM(AC13,AE13)</f>
        <v/>
      </c>
      <c r="AH13" s="47">
        <f>SUM(AD13,AF13)</f>
        <v/>
      </c>
      <c r="AI13" s="47">
        <f>Q13+AG13</f>
        <v/>
      </c>
      <c r="AJ13" s="47">
        <f>R13+AH13</f>
        <v/>
      </c>
      <c r="AK13" s="39">
        <f>IF(AI13=0,"",AJ13/AI13-1)</f>
        <v/>
      </c>
      <c r="AL13" s="39">
        <f>IF(I13=0,"",(C13*$U$2+E13*$W$2+G13*$Y$2)/I13)</f>
        <v/>
      </c>
      <c r="AM13">
        <f>IF(OR(I13&lt;0.85*H13,AJ13&lt;0.85*AI13,X13&gt;$I$2+0.01,Y13&gt;$K$2+0.01,Z13&gt;$M$2+0.01,AND(T13&gt;0,U13&lt;0.8*T13),AND(V13&gt;0,W13&lt;0.8*V13)),"ROJO",IF(OR(I13&lt;0.95*H13,AJ13&lt;0.95*AI13,X13&gt;$I$2,Y13&gt;$K$2,Z13&gt;$M$2,AND(T13&gt;0,U13&lt;0.95*T13),AND(V13&gt;0,W13&lt;0.95*V13)),"AMARILLO","VERDE"))</f>
        <v/>
      </c>
      <c r="AN13">
        <f>IF(AM13="ROJO","Plan choque 30d por tier (retencion+upsell+captacion)",IF(AM13="AMARILLO","Ajuste tactico por tier (onboarding+valor+canales)","Mantener plan y optimizar mix anual/mensual y conversion"))</f>
        <v/>
      </c>
    </row>
    <row r="14" ht="18.75" customFormat="1" customHeight="1" s="3">
      <c r="A14" s="20" t="inlineStr">
        <is>
          <t>M9</t>
        </is>
      </c>
      <c r="B14" s="17" t="n">
        <v>42</v>
      </c>
      <c r="C14" s="20" t="n"/>
      <c r="D14" s="18" t="n">
        <v>22</v>
      </c>
      <c r="E14" s="19" t="n"/>
      <c r="F14" s="19" t="n">
        <v>6</v>
      </c>
      <c r="G14" s="18" t="n"/>
      <c r="H14" s="18">
        <f>SUM(B14,D14,F14)</f>
        <v/>
      </c>
      <c r="I14" s="18">
        <f>SUM(C14,E14,G14)</f>
        <v/>
      </c>
      <c r="J14" s="45">
        <f>IF(H14=0,"",I14/H14-1)</f>
        <v/>
      </c>
      <c r="K14" s="46">
        <f>ROUND(B14*$B$2*(1-$S$2*$U$2),2)</f>
        <v/>
      </c>
      <c r="L14" s="46">
        <f>IF(C14="","",ROUND(C14*$B$2*(1-$S$2*$U$2),2))</f>
        <v/>
      </c>
      <c r="M14" s="46">
        <f>ROUND(D14*$D$2*(1-$S$2*$W$2),2)</f>
        <v/>
      </c>
      <c r="N14" s="46">
        <f>IF(E14="","",ROUND(E14*$D$2*(1-$S$2*$W$2),2))</f>
        <v/>
      </c>
      <c r="O14" s="46">
        <f>ROUND(F14*$F$2*(1-$S$2*$Y$2),2)</f>
        <v/>
      </c>
      <c r="P14" s="47">
        <f>IF(G14="","",ROUND(G14*$F$2*(1-$S$2*$Y$2),2))</f>
        <v/>
      </c>
      <c r="Q14" s="47">
        <f>SUM(K14,M14,O14)</f>
        <v/>
      </c>
      <c r="R14" s="47">
        <f>SUM(L14,N14,P14)</f>
        <v/>
      </c>
      <c r="S14" s="39">
        <f>IF(Q14=0,"",R14/Q14-1)</f>
        <v/>
      </c>
      <c r="T14" s="51">
        <f>IF(C14="","",ROUND(C14*$O$2,0))</f>
        <v/>
      </c>
      <c r="U14" s="51" t="n"/>
      <c r="V14" s="51">
        <f>IF(E14="","",ROUND(E14*$Q$2,0))</f>
        <v/>
      </c>
      <c r="W14" s="51" t="n"/>
      <c r="X14" s="39" t="n"/>
      <c r="Y14" s="39" t="n"/>
      <c r="Z14" s="39" t="n"/>
      <c r="AA14" s="48" t="n"/>
      <c r="AB14" s="47" t="n"/>
      <c r="AC14" s="47">
        <f>ROUND(K14*$AA$2,2)</f>
        <v/>
      </c>
      <c r="AD14" s="47" t="n"/>
      <c r="AE14" s="47">
        <f>ROUND(M14*$AC$2,2)</f>
        <v/>
      </c>
      <c r="AF14" s="47" t="n"/>
      <c r="AG14" s="47">
        <f>SUM(AC14,AE14)</f>
        <v/>
      </c>
      <c r="AH14" s="47">
        <f>SUM(AD14,AF14)</f>
        <v/>
      </c>
      <c r="AI14" s="47">
        <f>Q14+AG14</f>
        <v/>
      </c>
      <c r="AJ14" s="47">
        <f>R14+AH14</f>
        <v/>
      </c>
      <c r="AK14" s="39">
        <f>IF(AI14=0,"",AJ14/AI14-1)</f>
        <v/>
      </c>
      <c r="AL14" s="39">
        <f>IF(I14=0,"",(C14*$U$2+E14*$W$2+G14*$Y$2)/I14)</f>
        <v/>
      </c>
      <c r="AM14">
        <f>IF(OR(I14&lt;0.85*H14,AJ14&lt;0.85*AI14,X14&gt;$I$2+0.01,Y14&gt;$K$2+0.01,Z14&gt;$M$2+0.01,AND(T14&gt;0,U14&lt;0.8*T14),AND(V14&gt;0,W14&lt;0.8*V14)),"ROJO",IF(OR(I14&lt;0.95*H14,AJ14&lt;0.95*AI14,X14&gt;$I$2,Y14&gt;$K$2,Z14&gt;$M$2,AND(T14&gt;0,U14&lt;0.95*T14),AND(V14&gt;0,W14&lt;0.95*V14)),"AMARILLO","VERDE"))</f>
        <v/>
      </c>
      <c r="AN14">
        <f>IF(AM14="ROJO","Plan choque 30d por tier (retencion+upsell+captacion)",IF(AM14="AMARILLO","Ajuste tactico por tier (onboarding+valor+canales)","Mantener plan y optimizar mix anual/mensual y conversion"))</f>
        <v/>
      </c>
    </row>
    <row r="15" ht="18.75" customFormat="1" customHeight="1" s="3">
      <c r="A15" s="20" t="inlineStr">
        <is>
          <t>M10</t>
        </is>
      </c>
      <c r="B15" s="17" t="n">
        <v>45</v>
      </c>
      <c r="C15" s="20" t="n"/>
      <c r="D15" s="18" t="n">
        <v>24</v>
      </c>
      <c r="E15" s="19" t="n"/>
      <c r="F15" s="19" t="n">
        <v>8</v>
      </c>
      <c r="G15" s="18" t="n"/>
      <c r="H15" s="18">
        <f>SUM(B15,D15,F15)</f>
        <v/>
      </c>
      <c r="I15" s="18">
        <f>SUM(C15,E15,G15)</f>
        <v/>
      </c>
      <c r="J15" s="45">
        <f>IF(H15=0,"",I15/H15-1)</f>
        <v/>
      </c>
      <c r="K15" s="46">
        <f>ROUND(B15*$B$2*(1-$S$2*$U$2),2)</f>
        <v/>
      </c>
      <c r="L15" s="46">
        <f>IF(C15="","",ROUND(C15*$B$2*(1-$S$2*$U$2),2))</f>
        <v/>
      </c>
      <c r="M15" s="46">
        <f>ROUND(D15*$D$2*(1-$S$2*$W$2),2)</f>
        <v/>
      </c>
      <c r="N15" s="46">
        <f>IF(E15="","",ROUND(E15*$D$2*(1-$S$2*$W$2),2))</f>
        <v/>
      </c>
      <c r="O15" s="46">
        <f>ROUND(F15*$F$2*(1-$S$2*$Y$2),2)</f>
        <v/>
      </c>
      <c r="P15" s="47">
        <f>IF(G15="","",ROUND(G15*$F$2*(1-$S$2*$Y$2),2))</f>
        <v/>
      </c>
      <c r="Q15" s="47">
        <f>SUM(K15,M15,O15)</f>
        <v/>
      </c>
      <c r="R15" s="47">
        <f>SUM(L15,N15,P15)</f>
        <v/>
      </c>
      <c r="S15" s="39">
        <f>IF(Q15=0,"",R15/Q15-1)</f>
        <v/>
      </c>
      <c r="T15" s="51">
        <f>IF(C15="","",ROUND(C15*$O$2,0))</f>
        <v/>
      </c>
      <c r="U15" s="51" t="n"/>
      <c r="V15" s="51">
        <f>IF(E15="","",ROUND(E15*$Q$2,0))</f>
        <v/>
      </c>
      <c r="W15" s="51" t="n"/>
      <c r="X15" s="39" t="n"/>
      <c r="Y15" s="39" t="n"/>
      <c r="Z15" s="39" t="n"/>
      <c r="AA15" s="48" t="n"/>
      <c r="AB15" s="47" t="n"/>
      <c r="AC15" s="47">
        <f>ROUND(K15*$AA$2,2)</f>
        <v/>
      </c>
      <c r="AD15" s="47" t="n"/>
      <c r="AE15" s="47">
        <f>ROUND(M15*$AC$2,2)</f>
        <v/>
      </c>
      <c r="AF15" s="47" t="n"/>
      <c r="AG15" s="47">
        <f>SUM(AC15,AE15)</f>
        <v/>
      </c>
      <c r="AH15" s="47">
        <f>SUM(AD15,AF15)</f>
        <v/>
      </c>
      <c r="AI15" s="47">
        <f>Q15+AG15</f>
        <v/>
      </c>
      <c r="AJ15" s="47">
        <f>R15+AH15</f>
        <v/>
      </c>
      <c r="AK15" s="39">
        <f>IF(AI15=0,"",AJ15/AI15-1)</f>
        <v/>
      </c>
      <c r="AL15" s="39">
        <f>IF(I15=0,"",(C15*$U$2+E15*$W$2+G15*$Y$2)/I15)</f>
        <v/>
      </c>
      <c r="AM15">
        <f>IF(OR(I15&lt;0.85*H15,AJ15&lt;0.85*AI15,X15&gt;$I$2+0.01,Y15&gt;$K$2+0.01,Z15&gt;$M$2+0.01,AND(T15&gt;0,U15&lt;0.8*T15),AND(V15&gt;0,W15&lt;0.8*V15)),"ROJO",IF(OR(I15&lt;0.95*H15,AJ15&lt;0.95*AI15,X15&gt;$I$2,Y15&gt;$K$2,Z15&gt;$M$2,AND(T15&gt;0,U15&lt;0.95*T15),AND(V15&gt;0,W15&lt;0.95*V15)),"AMARILLO","VERDE"))</f>
        <v/>
      </c>
      <c r="AN15">
        <f>IF(AM15="ROJO","Plan choque 30d por tier (retencion+upsell+captacion)",IF(AM15="AMARILLO","Ajuste tactico por tier (onboarding+valor+canales)","Mantener plan y optimizar mix anual/mensual y conversion"))</f>
        <v/>
      </c>
    </row>
    <row r="16" ht="18.75" customFormat="1" customHeight="1" s="3">
      <c r="A16" s="20" t="inlineStr">
        <is>
          <t>M11</t>
        </is>
      </c>
      <c r="B16" s="17" t="n">
        <v>48</v>
      </c>
      <c r="C16" s="20" t="n"/>
      <c r="D16" s="18" t="n">
        <v>27</v>
      </c>
      <c r="E16" s="19" t="n"/>
      <c r="F16" s="19" t="n">
        <v>9</v>
      </c>
      <c r="G16" s="18" t="n"/>
      <c r="H16" s="18">
        <f>SUM(B16,D16,F16)</f>
        <v/>
      </c>
      <c r="I16" s="18">
        <f>SUM(C16,E16,G16)</f>
        <v/>
      </c>
      <c r="J16" s="45">
        <f>IF(H16=0,"",I16/H16-1)</f>
        <v/>
      </c>
      <c r="K16" s="46">
        <f>ROUND(B16*$B$2*(1-$S$2*$U$2),2)</f>
        <v/>
      </c>
      <c r="L16" s="46">
        <f>IF(C16="","",ROUND(C16*$B$2*(1-$S$2*$U$2),2))</f>
        <v/>
      </c>
      <c r="M16" s="46">
        <f>ROUND(D16*$D$2*(1-$S$2*$W$2),2)</f>
        <v/>
      </c>
      <c r="N16" s="46">
        <f>IF(E16="","",ROUND(E16*$D$2*(1-$S$2*$W$2),2))</f>
        <v/>
      </c>
      <c r="O16" s="46">
        <f>ROUND(F16*$F$2*(1-$S$2*$Y$2),2)</f>
        <v/>
      </c>
      <c r="P16" s="47">
        <f>IF(G16="","",ROUND(G16*$F$2*(1-$S$2*$Y$2),2))</f>
        <v/>
      </c>
      <c r="Q16" s="47">
        <f>SUM(K16,M16,O16)</f>
        <v/>
      </c>
      <c r="R16" s="47">
        <f>SUM(L16,N16,P16)</f>
        <v/>
      </c>
      <c r="S16" s="39">
        <f>IF(Q16=0,"",R16/Q16-1)</f>
        <v/>
      </c>
      <c r="T16" s="51">
        <f>IF(C16="","",ROUND(C16*$O$2,0))</f>
        <v/>
      </c>
      <c r="U16" s="51" t="n"/>
      <c r="V16" s="51">
        <f>IF(E16="","",ROUND(E16*$Q$2,0))</f>
        <v/>
      </c>
      <c r="W16" s="51" t="n"/>
      <c r="X16" s="39" t="n"/>
      <c r="Y16" s="39" t="n"/>
      <c r="Z16" s="39" t="n"/>
      <c r="AA16" s="48" t="n"/>
      <c r="AB16" s="47" t="n"/>
      <c r="AC16" s="47">
        <f>ROUND(K16*$AA$2,2)</f>
        <v/>
      </c>
      <c r="AD16" s="47" t="n"/>
      <c r="AE16" s="47">
        <f>ROUND(M16*$AC$2,2)</f>
        <v/>
      </c>
      <c r="AF16" s="47" t="n"/>
      <c r="AG16" s="47">
        <f>SUM(AC16,AE16)</f>
        <v/>
      </c>
      <c r="AH16" s="47">
        <f>SUM(AD16,AF16)</f>
        <v/>
      </c>
      <c r="AI16" s="47">
        <f>Q16+AG16</f>
        <v/>
      </c>
      <c r="AJ16" s="47">
        <f>R16+AH16</f>
        <v/>
      </c>
      <c r="AK16" s="39">
        <f>IF(AI16=0,"",AJ16/AI16-1)</f>
        <v/>
      </c>
      <c r="AL16" s="39">
        <f>IF(I16=0,"",(C16*$U$2+E16*$W$2+G16*$Y$2)/I16)</f>
        <v/>
      </c>
      <c r="AM16">
        <f>IF(OR(I16&lt;0.85*H16,AJ16&lt;0.85*AI16,X16&gt;$I$2+0.01,Y16&gt;$K$2+0.01,Z16&gt;$M$2+0.01,AND(T16&gt;0,U16&lt;0.8*T16),AND(V16&gt;0,W16&lt;0.8*V16)),"ROJO",IF(OR(I16&lt;0.95*H16,AJ16&lt;0.95*AI16,X16&gt;$I$2,Y16&gt;$K$2,Z16&gt;$M$2,AND(T16&gt;0,U16&lt;0.95*T16),AND(V16&gt;0,W16&lt;0.95*V16)),"AMARILLO","VERDE"))</f>
        <v/>
      </c>
      <c r="AN16">
        <f>IF(AM16="ROJO","Plan choque 30d por tier (retencion+upsell+captacion)",IF(AM16="AMARILLO","Ajuste tactico por tier (onboarding+valor+canales)","Mantener plan y optimizar mix anual/mensual y conversion"))</f>
        <v/>
      </c>
    </row>
    <row r="17" ht="18.75" customFormat="1" customHeight="1" s="3">
      <c r="A17" s="20" t="inlineStr">
        <is>
          <t>M12</t>
        </is>
      </c>
      <c r="B17" s="17" t="n">
        <v>50</v>
      </c>
      <c r="C17" s="20" t="n"/>
      <c r="D17" s="18" t="n">
        <v>30</v>
      </c>
      <c r="E17" s="19" t="n"/>
      <c r="F17" s="19" t="n">
        <v>10</v>
      </c>
      <c r="G17" s="18" t="n"/>
      <c r="H17" s="18">
        <f>SUM(B17,D17,F17)</f>
        <v/>
      </c>
      <c r="I17" s="18">
        <f>SUM(C17,E17,G17)</f>
        <v/>
      </c>
      <c r="J17" s="45">
        <f>IF(H17=0,"",I17/H17-1)</f>
        <v/>
      </c>
      <c r="K17" s="46">
        <f>ROUND(B17*$B$2*(1-$S$2*$U$2),2)</f>
        <v/>
      </c>
      <c r="L17" s="46">
        <f>IF(C17="","",ROUND(C17*$B$2*(1-$S$2*$U$2),2))</f>
        <v/>
      </c>
      <c r="M17" s="46">
        <f>ROUND(D17*$D$2*(1-$S$2*$W$2),2)</f>
        <v/>
      </c>
      <c r="N17" s="46">
        <f>IF(E17="","",ROUND(E17*$D$2*(1-$S$2*$W$2),2))</f>
        <v/>
      </c>
      <c r="O17" s="46">
        <f>ROUND(F17*$F$2*(1-$S$2*$Y$2),2)</f>
        <v/>
      </c>
      <c r="P17" s="47">
        <f>IF(G17="","",ROUND(G17*$F$2*(1-$S$2*$Y$2),2))</f>
        <v/>
      </c>
      <c r="Q17" s="47">
        <f>SUM(K17,M17,O17)</f>
        <v/>
      </c>
      <c r="R17" s="47">
        <f>SUM(L17,N17,P17)</f>
        <v/>
      </c>
      <c r="S17" s="39">
        <f>IF(Q17=0,"",R17/Q17-1)</f>
        <v/>
      </c>
      <c r="T17" s="51">
        <f>IF(C17="","",ROUND(C17*$O$2,0))</f>
        <v/>
      </c>
      <c r="U17" s="51" t="n"/>
      <c r="V17" s="51">
        <f>IF(E17="","",ROUND(E17*$Q$2,0))</f>
        <v/>
      </c>
      <c r="W17" s="51" t="n"/>
      <c r="X17" s="39" t="n"/>
      <c r="Y17" s="39" t="n"/>
      <c r="Z17" s="39" t="n"/>
      <c r="AA17" s="48" t="n"/>
      <c r="AB17" s="47" t="n"/>
      <c r="AC17" s="47">
        <f>ROUND(K17*$AA$2,2)</f>
        <v/>
      </c>
      <c r="AD17" s="47" t="n"/>
      <c r="AE17" s="47">
        <f>ROUND(M17*$AC$2,2)</f>
        <v/>
      </c>
      <c r="AF17" s="47" t="n"/>
      <c r="AG17" s="47">
        <f>SUM(AC17,AE17)</f>
        <v/>
      </c>
      <c r="AH17" s="47">
        <f>SUM(AD17,AF17)</f>
        <v/>
      </c>
      <c r="AI17" s="47">
        <f>Q17+AG17</f>
        <v/>
      </c>
      <c r="AJ17" s="47">
        <f>R17+AH17</f>
        <v/>
      </c>
      <c r="AK17" s="39">
        <f>IF(AI17=0,"",AJ17/AI17-1)</f>
        <v/>
      </c>
      <c r="AL17" s="39">
        <f>IF(I17=0,"",(C17*$U$2+E17*$W$2+G17*$Y$2)/I17)</f>
        <v/>
      </c>
      <c r="AM17">
        <f>IF(OR(I17&lt;0.85*H17,AJ17&lt;0.85*AI17,X17&gt;$I$2+0.01,Y17&gt;$K$2+0.01,Z17&gt;$M$2+0.01,AND(T17&gt;0,U17&lt;0.8*T17),AND(V17&gt;0,W17&lt;0.8*V17)),"ROJO",IF(OR(I17&lt;0.95*H17,AJ17&lt;0.95*AI17,X17&gt;$I$2,Y17&gt;$K$2,Z17&gt;$M$2,AND(T17&gt;0,U17&lt;0.95*T17),AND(V17&gt;0,W17&lt;0.95*V17)),"AMARILLO","VERDE"))</f>
        <v/>
      </c>
      <c r="AN17">
        <f>IF(AM17="ROJO","Plan choque 30d por tier (retencion+upsell+captacion)",IF(AM17="AMARILLO","Ajuste tactico por tier (onboarding+valor+canales)","Mantener plan y optimizar mix anual/mensual y conversion"))</f>
        <v/>
      </c>
    </row>
    <row r="18" ht="18.75" customHeight="1">
      <c r="A18" s="23" t="n"/>
      <c r="B18" s="24" t="n"/>
      <c r="C18" s="6" t="n"/>
      <c r="D18" s="6" t="n"/>
      <c r="E18" s="24" t="n"/>
      <c r="F18" s="6" t="n"/>
      <c r="G18" s="6" t="n"/>
      <c r="H18" s="25" t="n"/>
      <c r="I18" s="6" t="n"/>
      <c r="J18" s="25" t="n"/>
      <c r="K18" s="6" t="n"/>
      <c r="L18" s="6" t="n"/>
      <c r="M18" s="6" t="n"/>
      <c r="N18" s="6" t="n"/>
      <c r="O18" s="6" t="n"/>
    </row>
    <row r="19" ht="18.75" customHeight="1">
      <c r="A19" s="23" t="n"/>
      <c r="B19" s="24" t="n"/>
      <c r="C19" s="6" t="n"/>
      <c r="D19" s="6" t="n"/>
      <c r="E19" s="24" t="n"/>
      <c r="F19" s="6" t="n"/>
      <c r="G19" s="6" t="n"/>
      <c r="H19" s="25" t="n"/>
      <c r="I19" s="6" t="n"/>
      <c r="J19" s="25" t="n"/>
      <c r="K19" s="6" t="n"/>
      <c r="L19" s="6" t="n"/>
      <c r="M19" s="6" t="n"/>
      <c r="N19" s="6" t="n"/>
      <c r="O19" s="6" t="n"/>
    </row>
    <row r="20" ht="18.75" customHeight="1">
      <c r="A20" s="49" t="inlineStr">
        <is>
          <t>Resumen rapido</t>
        </is>
      </c>
      <c r="B20" s="24" t="n"/>
      <c r="C20" s="6" t="n"/>
      <c r="D20" s="6" t="n"/>
      <c r="E20" s="24" t="n"/>
      <c r="F20" s="6" t="n"/>
      <c r="G20" s="6" t="n"/>
      <c r="H20" s="25" t="n"/>
      <c r="I20" s="6" t="n"/>
      <c r="J20" s="25" t="n"/>
      <c r="K20" s="6" t="n"/>
      <c r="L20" s="6" t="n"/>
      <c r="M20" s="6" t="n"/>
      <c r="N20" s="6" t="n"/>
      <c r="O20" s="6" t="n"/>
    </row>
    <row r="21" ht="18.75" customHeight="1">
      <c r="A21" s="23" t="inlineStr">
        <is>
          <t>Ultimo mes con datos</t>
        </is>
      </c>
      <c r="B21" s="24">
        <f>IFERROR(LOOKUP(2,1/(I6:I17&lt;&gt;""),A6:A17),"")</f>
        <v/>
      </c>
      <c r="C21" s="6" t="n"/>
      <c r="D21" s="6" t="n"/>
      <c r="E21" s="24" t="n"/>
      <c r="F21" s="6" t="n"/>
      <c r="G21" s="6" t="n"/>
      <c r="H21" s="25" t="n"/>
      <c r="I21" s="6" t="n"/>
      <c r="J21" s="25" t="n"/>
      <c r="K21" s="6" t="n"/>
      <c r="L21" s="6" t="n"/>
      <c r="M21" s="6" t="n"/>
      <c r="N21" s="6" t="n"/>
      <c r="O21" s="6" t="n"/>
    </row>
    <row r="22" ht="18.75" customHeight="1">
      <c r="A22" s="23" t="inlineStr">
        <is>
          <t>Clientes reales ultimo mes (C/P/E/Total)</t>
        </is>
      </c>
      <c r="B22" s="24">
        <f>IFERROR(LOOKUP(2,1/(C6:C17&lt;&gt;""),C6:C17),"")</f>
        <v/>
      </c>
      <c r="C22" s="6">
        <f>IFERROR(LOOKUP(2,1/(E6:E17&lt;&gt;""),E6:E17),"")</f>
        <v/>
      </c>
      <c r="D22" s="6">
        <f>IFERROR(LOOKUP(2,1/(G6:G17&lt;&gt;""),G6:G17),"")</f>
        <v/>
      </c>
      <c r="E22" s="24">
        <f>IFERROR(LOOKUP(2,1/(I6:I17&lt;&gt;""),I6:I17),"")</f>
        <v/>
      </c>
      <c r="F22" s="6" t="n"/>
      <c r="G22" s="6" t="n"/>
      <c r="H22" s="25" t="n"/>
      <c r="I22" s="6" t="n"/>
      <c r="J22" s="25" t="n"/>
      <c r="K22" s="6" t="n"/>
      <c r="L22" s="6" t="n"/>
      <c r="M22" s="6" t="n"/>
      <c r="N22" s="6" t="n"/>
      <c r="O22" s="6" t="n"/>
    </row>
    <row r="23" ht="18.75" customHeight="1">
      <c r="A23" s="23" t="inlineStr">
        <is>
          <t>MRR base real ultimo mes EUR (C/P/E/Total)</t>
        </is>
      </c>
      <c r="B23" s="32">
        <f>IFERROR(LOOKUP(2,1/(L6:L17&lt;&gt;""),L6:L17),"")</f>
        <v/>
      </c>
      <c r="C23" s="34">
        <f>IFERROR(LOOKUP(2,1/(N6:N17&lt;&gt;""),N6:N17),"")</f>
        <v/>
      </c>
      <c r="D23" s="34">
        <f>IFERROR(LOOKUP(2,1/(P6:P17&lt;&gt;""),P6:P17),"")</f>
        <v/>
      </c>
      <c r="E23" s="40">
        <f>IFERROR(LOOKUP(2,1/(R6:R17&lt;&gt;""),R6:R17),"")</f>
        <v/>
      </c>
      <c r="F23" s="6" t="n"/>
      <c r="G23" s="6" t="n"/>
      <c r="H23" s="25" t="n"/>
      <c r="I23" s="6" t="n"/>
      <c r="J23" s="25" t="n"/>
      <c r="K23" s="6" t="n"/>
      <c r="L23" s="6" t="n"/>
      <c r="M23" s="6" t="n"/>
      <c r="N23" s="6" t="n"/>
      <c r="O23" s="6" t="n"/>
    </row>
    <row r="24" ht="18.75" customHeight="1">
      <c r="A24" s="23" t="inlineStr">
        <is>
          <t>Packs reales ultimo mes EUR (C/P/Total)</t>
        </is>
      </c>
      <c r="B24" s="32">
        <f>IFERROR(LOOKUP(2,1/(AD6:AD17&lt;&gt;""),AD6:AD17),"")</f>
        <v/>
      </c>
      <c r="C24" s="34">
        <f>IFERROR(LOOKUP(2,1/(AF6:AF17&lt;&gt;""),AF6:AF17),"")</f>
        <v/>
      </c>
      <c r="D24" s="34">
        <f>IFERROR(LOOKUP(2,1/(AH6:AH17&lt;&gt;""),AH6:AH17),"")</f>
        <v/>
      </c>
      <c r="E24" s="24" t="n"/>
      <c r="F24" s="6" t="n"/>
      <c r="G24" s="6" t="n"/>
      <c r="H24" s="25" t="n"/>
      <c r="I24" s="6" t="n"/>
      <c r="J24" s="25" t="n"/>
      <c r="K24" s="6" t="n"/>
      <c r="L24" s="6" t="n"/>
      <c r="M24" s="6" t="n"/>
      <c r="N24" s="6" t="n"/>
      <c r="O24" s="6" t="n"/>
    </row>
    <row r="25" ht="18.75" customHeight="1">
      <c r="A25" s="23" t="inlineStr">
        <is>
          <t>Ingresos totales ultimo mes EUR (obj/real/delta)</t>
        </is>
      </c>
      <c r="B25" s="32">
        <f>IFERROR(LOOKUP(2,1/(AI6:AI17&lt;&gt;""),AI6:AI17),"")</f>
        <v/>
      </c>
      <c r="C25" s="34">
        <f>IFERROR(LOOKUP(2,1/(AJ6:AJ17&lt;&gt;""),AJ6:AJ17),"")</f>
        <v/>
      </c>
      <c r="D25" s="37">
        <f>IFERROR(LOOKUP(2,1/(AK6:AK17&lt;&gt;""),AK6:AK17),"")</f>
        <v/>
      </c>
      <c r="E25" s="24" t="n"/>
      <c r="F25" s="6" t="n"/>
      <c r="G25" s="6" t="n"/>
      <c r="H25" s="25" t="n"/>
      <c r="I25" s="6" t="n"/>
      <c r="J25" s="25" t="n"/>
      <c r="K25" s="6" t="n"/>
      <c r="L25" s="6" t="n"/>
      <c r="M25" s="6" t="n"/>
      <c r="N25" s="6" t="n"/>
      <c r="O25" s="6" t="n"/>
    </row>
    <row r="26">
      <c r="A26" t="inlineStr">
        <is>
          <t>Churn promedio cargado (C/P/E)</t>
        </is>
      </c>
      <c r="B26" s="39">
        <f>IFERROR(AVERAGE(X6:X17),"")</f>
        <v/>
      </c>
      <c r="C26" s="39">
        <f>IFERROR(AVERAGE(Y6:Y17),"")</f>
        <v/>
      </c>
      <c r="D26" s="39">
        <f>IFERROR(AVERAGE(Z6:Z17),"")</f>
        <v/>
      </c>
    </row>
    <row r="27">
      <c r="A27" t="inlineStr">
        <is>
          <t>Conversion upsell promedio real (C2P/P2E)</t>
        </is>
      </c>
      <c r="B27" s="39">
        <f>IFERROR(SUM(U6:U17)/SUM(T6:T17),"")</f>
        <v/>
      </c>
      <c r="C27" s="39">
        <f>IFERROR(SUM(W6:W17)/SUM(V6:V17),"")</f>
        <v/>
      </c>
    </row>
    <row r="28">
      <c r="A28" t="inlineStr">
        <is>
          <t>Semaforo ultimo mes</t>
        </is>
      </c>
      <c r="B28">
        <f>IFERROR(LOOKUP(2,1/(AM6:AM17&lt;&gt;""),AM6:AM17),"")</f>
        <v/>
      </c>
    </row>
    <row r="29">
      <c r="A29" t="inlineStr">
        <is>
          <t>Mix anual ponderado ultimo mes</t>
        </is>
      </c>
      <c r="B29" s="39">
        <f>IFERROR(LOOKUP(2,1/(AL6:AL17&lt;&gt;""),AL6:AL17),"")</f>
        <v/>
      </c>
    </row>
  </sheetData>
  <autoFilter ref="A5:AO17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K15"/>
  <sheetViews>
    <sheetView workbookViewId="0">
      <pane xSplit="0" ySplit="3" topLeftCell="A4" activePane="bottomLeft" state="frozen"/>
      <selection activeCell="A1" sqref="A1"/>
    </sheetView>
  </sheetViews>
  <sheetFormatPr baseColWidth="8" defaultRowHeight="15"/>
  <cols>
    <col width="8.005000000000001" bestFit="1" customWidth="1" style="6" min="1" max="1"/>
    <col width="28.005" bestFit="1" customWidth="1" style="6" min="2" max="2"/>
    <col width="28.005" bestFit="1" customWidth="1" style="6" min="3" max="3"/>
    <col width="22.005" bestFit="1" customWidth="1" style="6" min="4" max="4"/>
    <col width="24.005" bestFit="1" customWidth="1" style="6" min="5" max="5"/>
    <col width="24.005" bestFit="1" customWidth="1" style="6" min="6" max="6"/>
    <col width="24.005" bestFit="1" customWidth="1" style="6" min="7" max="7"/>
    <col width="20.005" bestFit="1" customWidth="1" style="6" min="8" max="8"/>
    <col width="20.005" bestFit="1" customWidth="1" style="6" min="9" max="9"/>
    <col width="14.005" bestFit="1" customWidth="1" style="6" min="10" max="10"/>
    <col width="14.005" bestFit="1" customWidth="1" style="6" min="11" max="11"/>
  </cols>
  <sheetData>
    <row r="1" ht="18.75" customHeight="1">
      <c r="A1" s="1" t="inlineStr">
        <is>
          <t>Registro mensual de decisiones por tier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</row>
    <row r="2" ht="18.75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</row>
    <row r="3" ht="18.75" customFormat="1" customHeight="1" s="3">
      <c r="A3" s="4" t="inlineStr">
        <is>
          <t>Mes</t>
        </is>
      </c>
      <c r="B3" s="4" t="inlineStr">
        <is>
          <t>Que funciono por tier</t>
        </is>
      </c>
      <c r="C3" s="4" t="inlineStr">
        <is>
          <t>Que no funciono por tier</t>
        </is>
      </c>
      <c r="D3" s="4" t="inlineStr">
        <is>
          <t>Bloqueadores</t>
        </is>
      </c>
      <c r="E3" s="4" t="inlineStr">
        <is>
          <t>Decision producto</t>
        </is>
      </c>
      <c r="F3" s="4" t="inlineStr">
        <is>
          <t>Decision pricing/upsell</t>
        </is>
      </c>
      <c r="G3" s="4" t="inlineStr">
        <is>
          <t>Decision comercial</t>
        </is>
      </c>
      <c r="H3" s="4" t="inlineStr">
        <is>
          <t>Decision soporte</t>
        </is>
      </c>
      <c r="I3" s="4" t="inlineStr">
        <is>
          <t>Riesgo principal</t>
        </is>
      </c>
      <c r="J3" s="4" t="inlineStr">
        <is>
          <t>Mitigacion</t>
        </is>
      </c>
      <c r="K3" s="4" t="inlineStr">
        <is>
          <t>Responsable y fecha revision</t>
        </is>
      </c>
    </row>
    <row r="4" ht="18.75" customFormat="1" customHeight="1" s="3">
      <c r="A4" s="5" t="inlineStr">
        <is>
          <t>M1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 ht="18.75" customFormat="1" customHeight="1" s="3">
      <c r="A5" s="5" t="inlineStr">
        <is>
          <t>M2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</row>
    <row r="6" ht="18.75" customFormat="1" customHeight="1" s="3">
      <c r="A6" s="5" t="inlineStr">
        <is>
          <t>M3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</row>
    <row r="7" ht="18.75" customFormat="1" customHeight="1" s="3">
      <c r="A7" s="5" t="inlineStr">
        <is>
          <t>M4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</row>
    <row r="8" ht="18.75" customFormat="1" customHeight="1" s="3">
      <c r="A8" s="5" t="inlineStr">
        <is>
          <t>M5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 ht="18.75" customFormat="1" customHeight="1" s="3">
      <c r="A9" s="5" t="inlineStr">
        <is>
          <t>M6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</row>
    <row r="10" ht="18.75" customFormat="1" customHeight="1" s="3">
      <c r="A10" s="5" t="inlineStr">
        <is>
          <t>M7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 ht="18.75" customFormat="1" customHeight="1" s="3">
      <c r="A11" s="5" t="inlineStr">
        <is>
          <t>M8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</row>
    <row r="12" ht="18.75" customFormat="1" customHeight="1" s="3">
      <c r="A12" s="5" t="inlineStr">
        <is>
          <t>M9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 ht="18.75" customFormat="1" customHeight="1" s="3">
      <c r="A13" s="5" t="inlineStr">
        <is>
          <t>M10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</row>
    <row r="14" ht="18.75" customFormat="1" customHeight="1" s="3">
      <c r="A14" s="5" t="inlineStr">
        <is>
          <t>M11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 ht="18.75" customFormat="1" customHeight="1" s="3">
      <c r="A15" s="5" t="inlineStr">
        <is>
          <t>M12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2026-02-13T23:35:13Z</dcterms:created>
  <dcterms:modified xmlns:dcterms="http://purl.org/dc/terms/" xmlns:xsi="http://www.w3.org/2001/XMLSchema-instance" xsi:type="dcterms:W3CDTF">2026-02-13T23:46:16Z</dcterms:modified>
</cp:coreProperties>
</file>